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02.업무자료\04.주간보고\"/>
    </mc:Choice>
  </mc:AlternateContent>
  <xr:revisionPtr revIDLastSave="0" documentId="8_{DE2BE4A9-4112-4614-960A-E63734636040}" xr6:coauthVersionLast="47" xr6:coauthVersionMax="47" xr10:uidLastSave="{00000000-0000-0000-0000-000000000000}"/>
  <bookViews>
    <workbookView xWindow="-120" yWindow="-120" windowWidth="28110" windowHeight="16440" xr2:uid="{1789419F-784A-4968-A82D-BD5BDE085FCE}"/>
  </bookViews>
  <sheets>
    <sheet name="20260227" sheetId="7" r:id="rId1"/>
    <sheet name="20260213" sheetId="6" r:id="rId2"/>
    <sheet name="20260206" sheetId="4" r:id="rId3"/>
    <sheet name="20260206_DX" sheetId="5" r:id="rId4"/>
    <sheet name="작성예시" sheetId="1" r:id="rId5"/>
    <sheet name="기준값설정" sheetId="3" r:id="rId6"/>
  </sheets>
  <definedNames>
    <definedName name="_xlnm._FilterDatabase" localSheetId="2" hidden="1">'20260206'!$A$1:$G$17</definedName>
    <definedName name="_xlnm._FilterDatabase" localSheetId="3" hidden="1">'20260206_DX'!$A$1:$E$15</definedName>
    <definedName name="_xlnm._FilterDatabase" localSheetId="4" hidden="1">작성예시!$A$1:$G$14</definedName>
    <definedName name="_xlnm._FilterDatabase" localSheetId="1" hidden="1">'20260213'!$A$1:$G$15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A4" i="7"/>
  <c r="D6" i="7"/>
  <c r="A6" i="7"/>
  <c r="D32" i="7"/>
  <c r="A32" i="7"/>
  <c r="D41" i="7"/>
  <c r="A41" i="7"/>
  <c r="D40" i="7"/>
  <c r="A40" i="7"/>
  <c r="D39" i="7"/>
  <c r="A39" i="7"/>
  <c r="D38" i="7"/>
  <c r="A38" i="7"/>
  <c r="D37" i="7"/>
  <c r="A37" i="7"/>
  <c r="D36" i="7"/>
  <c r="A36" i="7"/>
  <c r="D35" i="7"/>
  <c r="A35" i="7"/>
  <c r="D34" i="7"/>
  <c r="A34" i="7"/>
  <c r="D33" i="7"/>
  <c r="A33" i="7"/>
  <c r="D31" i="7"/>
  <c r="A31" i="7"/>
  <c r="D30" i="7"/>
  <c r="A30" i="7"/>
  <c r="D29" i="7"/>
  <c r="A29" i="7"/>
  <c r="D28" i="7"/>
  <c r="A28" i="7"/>
  <c r="D27" i="7"/>
  <c r="A27" i="7"/>
  <c r="D26" i="7"/>
  <c r="A26" i="7"/>
  <c r="D25" i="7"/>
  <c r="A25" i="7"/>
  <c r="D24" i="7"/>
  <c r="A24" i="7"/>
  <c r="D23" i="7"/>
  <c r="A23" i="7"/>
  <c r="A16" i="7"/>
  <c r="D15" i="7"/>
  <c r="A15" i="7"/>
  <c r="D14" i="7"/>
  <c r="A14" i="7"/>
  <c r="D13" i="7"/>
  <c r="A13" i="7"/>
  <c r="D12" i="7"/>
  <c r="A12" i="7"/>
  <c r="D11" i="7"/>
  <c r="A11" i="7"/>
  <c r="D10" i="7"/>
  <c r="A10" i="7"/>
  <c r="D9" i="7"/>
  <c r="A9" i="7"/>
  <c r="D8" i="7"/>
  <c r="A8" i="7"/>
  <c r="D7" i="7"/>
  <c r="A7" i="7"/>
  <c r="D3" i="7"/>
  <c r="A3" i="7"/>
  <c r="D5" i="7"/>
  <c r="A5" i="7"/>
  <c r="D2" i="7"/>
  <c r="A2" i="7"/>
  <c r="A11" i="6"/>
  <c r="D11" i="6"/>
  <c r="D35" i="6"/>
  <c r="A35" i="6"/>
  <c r="D3" i="6"/>
  <c r="A3" i="6"/>
  <c r="D25" i="6"/>
  <c r="A25" i="6"/>
  <c r="D38" i="6"/>
  <c r="A38" i="6"/>
  <c r="D37" i="6"/>
  <c r="A37" i="6"/>
  <c r="D24" i="6"/>
  <c r="A24" i="6"/>
  <c r="D28" i="6"/>
  <c r="A28" i="6"/>
  <c r="D32" i="6"/>
  <c r="A32" i="6"/>
  <c r="D31" i="6"/>
  <c r="A31" i="6"/>
  <c r="D30" i="6"/>
  <c r="A30" i="6"/>
  <c r="A2" i="6"/>
  <c r="D2" i="6"/>
  <c r="A4" i="6"/>
  <c r="D4" i="6"/>
  <c r="A5" i="6"/>
  <c r="D5" i="6"/>
  <c r="A6" i="6"/>
  <c r="D6" i="6"/>
  <c r="A7" i="6"/>
  <c r="D7" i="6"/>
  <c r="A8" i="6"/>
  <c r="D8" i="6"/>
  <c r="A9" i="6"/>
  <c r="D9" i="6"/>
  <c r="A10" i="6"/>
  <c r="D10" i="6"/>
  <c r="A12" i="6"/>
  <c r="D12" i="6"/>
  <c r="A13" i="6"/>
  <c r="D13" i="6"/>
  <c r="A14" i="6"/>
  <c r="D14" i="6"/>
  <c r="A15" i="6"/>
  <c r="A26" i="6"/>
  <c r="D26" i="6"/>
  <c r="A27" i="6"/>
  <c r="D27" i="6"/>
  <c r="A29" i="6"/>
  <c r="D29" i="6"/>
  <c r="A33" i="6"/>
  <c r="D33" i="6"/>
  <c r="A34" i="6"/>
  <c r="D34" i="6"/>
  <c r="A36" i="6"/>
  <c r="D36" i="6"/>
  <c r="A39" i="6"/>
  <c r="D39" i="6"/>
  <c r="A40" i="6"/>
  <c r="D40" i="6"/>
  <c r="A41" i="6"/>
  <c r="D41" i="6"/>
  <c r="B29" i="5"/>
  <c r="B28" i="5"/>
  <c r="B27" i="5"/>
  <c r="B26" i="5"/>
  <c r="B25" i="5"/>
  <c r="B24" i="5"/>
  <c r="B23" i="5"/>
  <c r="B22" i="5"/>
  <c r="B21" i="5"/>
  <c r="B20" i="5"/>
  <c r="B19" i="5"/>
  <c r="B18" i="5"/>
  <c r="B8" i="5"/>
  <c r="B17" i="5"/>
  <c r="B15" i="5"/>
  <c r="B11" i="5"/>
  <c r="B9" i="5"/>
  <c r="B13" i="5"/>
  <c r="B2" i="5"/>
  <c r="D33" i="4"/>
  <c r="A33" i="4"/>
  <c r="D32" i="4"/>
  <c r="A32" i="4"/>
  <c r="D31" i="4"/>
  <c r="A31" i="4"/>
  <c r="D30" i="4"/>
  <c r="A30" i="4"/>
  <c r="D29" i="4"/>
  <c r="A29" i="4"/>
  <c r="D28" i="4"/>
  <c r="A28" i="4"/>
  <c r="D27" i="4"/>
  <c r="A27" i="4"/>
  <c r="D26" i="4"/>
  <c r="A26" i="4"/>
  <c r="D25" i="4"/>
  <c r="A25" i="4"/>
  <c r="D24" i="4"/>
  <c r="A24" i="4"/>
  <c r="D23" i="4"/>
  <c r="A23" i="4"/>
  <c r="D22" i="4"/>
  <c r="A22" i="4"/>
  <c r="D14" i="4"/>
  <c r="A14" i="4"/>
  <c r="D17" i="4"/>
  <c r="A17" i="4"/>
  <c r="D16" i="4"/>
  <c r="A16" i="4"/>
  <c r="D13" i="4"/>
  <c r="A13" i="4"/>
  <c r="A12" i="4"/>
  <c r="D12" i="4"/>
  <c r="D11" i="4"/>
  <c r="A11" i="4"/>
  <c r="D15" i="4"/>
  <c r="A15" i="4"/>
  <c r="D21" i="4"/>
  <c r="A21" i="4"/>
  <c r="D20" i="4"/>
  <c r="A20" i="4"/>
  <c r="D19" i="4"/>
  <c r="A19" i="4"/>
  <c r="D18" i="4"/>
  <c r="A18" i="4"/>
  <c r="A10" i="4"/>
  <c r="D10" i="4"/>
  <c r="A4" i="4"/>
  <c r="D4" i="4"/>
  <c r="D9" i="4"/>
  <c r="A9" i="4"/>
  <c r="A8" i="4"/>
  <c r="D8" i="4"/>
  <c r="D7" i="4"/>
  <c r="A7" i="4"/>
  <c r="D6" i="4"/>
  <c r="A6" i="4"/>
  <c r="D5" i="4"/>
  <c r="A5" i="4"/>
  <c r="D3" i="4"/>
  <c r="A3" i="4"/>
  <c r="D4" i="1"/>
  <c r="A4" i="1"/>
  <c r="D2" i="4"/>
  <c r="A2" i="4"/>
  <c r="A14" i="1"/>
  <c r="A13" i="1"/>
  <c r="A12" i="1"/>
  <c r="A11" i="1"/>
  <c r="A10" i="1"/>
  <c r="A9" i="1"/>
  <c r="A8" i="1"/>
  <c r="A7" i="1"/>
  <c r="A6" i="1"/>
  <c r="A5" i="1"/>
  <c r="A3" i="1"/>
  <c r="A2" i="1"/>
  <c r="D3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<sst xmlns="http://schemas.openxmlformats.org/spreadsheetml/2006/main" count="617" uniqueCount="281">
  <si>
    <t>파트</t>
  </si>
  <si>
    <t>성명</t>
  </si>
  <si>
    <t>프로젝트명</t>
  </si>
  <si>
    <t>프로젝트코드</t>
    <phoneticPr fontId="1" type="noConversion"/>
  </si>
  <si>
    <t>진행업무</t>
    <phoneticPr fontId="1" type="noConversion"/>
  </si>
  <si>
    <t>예정업무</t>
    <phoneticPr fontId="1" type="noConversion"/>
  </si>
  <si>
    <t>비고 및 이슈</t>
    <phoneticPr fontId="1" type="noConversion"/>
  </si>
  <si>
    <t>정우철</t>
  </si>
  <si>
    <t>팀공통</t>
  </si>
  <si>
    <r>
      <rPr>
        <b/>
        <sz val="10"/>
        <color rgb="FF000000"/>
        <rFont val="Aptos Narrow"/>
        <scheme val="minor"/>
      </rPr>
      <t xml:space="preserve">[과제 수주 및 관리]
</t>
    </r>
    <r>
      <rPr>
        <sz val="10"/>
        <color rgb="FF000000"/>
        <rFont val="Aptos Narrow"/>
        <scheme val="minor"/>
      </rPr>
      <t xml:space="preserve">*정량적, 정성적 목표 세부사항 정리
ㄴ 과제 통합 관리 템플릿 작성 및 세부사항 정리 (초안작성완료)
</t>
    </r>
  </si>
  <si>
    <r>
      <rPr>
        <b/>
        <sz val="10"/>
        <color rgb="FF000000"/>
        <rFont val="Aptos Narrow"/>
        <scheme val="minor"/>
      </rPr>
      <t xml:space="preserve">[과제 수주 및 관리]
</t>
    </r>
    <r>
      <rPr>
        <sz val="10"/>
        <color rgb="FF000000"/>
        <rFont val="Aptos Narrow"/>
        <scheme val="minor"/>
      </rPr>
      <t>*정량적, 정성적 목표 세부사항 정리
ㄴ 과제 통합 관리 템플릿 작성 및 세부사항 정리 (계속)</t>
    </r>
  </si>
  <si>
    <r>
      <rPr>
        <b/>
        <sz val="10"/>
        <color rgb="FF0070C0"/>
        <rFont val="Aptos Narrow"/>
      </rPr>
      <t xml:space="preserve">프로젝트별 수행 계획 수립 (DX 파트)
</t>
    </r>
    <r>
      <rPr>
        <sz val="10"/>
        <color rgb="FF0070C0"/>
        <rFont val="Aptos Narrow"/>
      </rPr>
      <t>ㄴ 사업계획 기준 계획 수립 (1차 3월 2주까지)</t>
    </r>
  </si>
  <si>
    <r>
      <rPr>
        <b/>
        <sz val="10"/>
        <color rgb="FF000000"/>
        <rFont val="Aptos Narrow"/>
        <scheme val="minor"/>
      </rPr>
      <t xml:space="preserve">[조직운영관리]
</t>
    </r>
    <r>
      <rPr>
        <sz val="10"/>
        <color rgb="FF000000"/>
        <rFont val="Aptos Narrow"/>
        <scheme val="minor"/>
      </rPr>
      <t xml:space="preserve">*2026년도 팀 목표 및 KPI 수립 방향 협의
ㄴ 2026년도 팀 KPI 설정 방식 및 기준 작성 (진행중) : 초안 및 대표님 공유
ㄴ 2026년도 팀 KPI 목표 수립(진행중) : 프로젝트별 수행 계획 작성중
*2026년도 인원계획 수립 : DX, AX 파트별 충원 계획
</t>
    </r>
    <r>
      <rPr>
        <b/>
        <sz val="10"/>
        <color rgb="FFFF0000"/>
        <rFont val="Aptos Narrow"/>
        <scheme val="minor"/>
      </rPr>
      <t xml:space="preserve">ㄴ 대표님 제출 및  의견에 따른 TO 조정 (완료) : 총원 15~17명
</t>
    </r>
    <r>
      <rPr>
        <sz val="10"/>
        <color rgb="FF000000"/>
        <rFont val="Aptos Narrow"/>
        <scheme val="minor"/>
      </rPr>
      <t>*2025년도 인사평가 (완료) : 경영관리본부 제출</t>
    </r>
  </si>
  <si>
    <r>
      <rPr>
        <b/>
        <sz val="10"/>
        <color rgb="FF000000"/>
        <rFont val="Aptos Narrow"/>
        <scheme val="minor"/>
      </rPr>
      <t xml:space="preserve">[조직운영관리]
</t>
    </r>
    <r>
      <rPr>
        <sz val="10"/>
        <color rgb="FF000000"/>
        <rFont val="Aptos Narrow"/>
        <scheme val="minor"/>
      </rPr>
      <t xml:space="preserve">*2026년도 팀 목표 및 KPI 수립 방향 협의
</t>
    </r>
    <r>
      <rPr>
        <sz val="10"/>
        <color rgb="FFFF0000"/>
        <rFont val="Aptos Narrow"/>
        <scheme val="minor"/>
      </rPr>
      <t xml:space="preserve">ㄴ 2026년도 팀 KPI 설정 방식 및 기준 작성  : 대표님 협의 후 결정 (예정)
</t>
    </r>
    <r>
      <rPr>
        <sz val="10"/>
        <color rgb="FF000000"/>
        <rFont val="Aptos Narrow"/>
        <scheme val="minor"/>
      </rPr>
      <t>ㄴ 2026년도 팀 KPI 목표 수립(진행중) : 프로젝트별 수행 계획 (예정 ~ 3월 2주)
*2026년도 인원계획 수립 : DX, AX 파트별 충원 계획
ㄴ 인원계획 최종안 수립 및 충원계획 결재
*2025년도 인사평가 (FW) : 경영관리본부 요청 시 F/U</t>
    </r>
  </si>
  <si>
    <r>
      <rPr>
        <b/>
        <sz val="10"/>
        <color rgb="FF0070C0"/>
        <rFont val="Aptos Narrow"/>
      </rPr>
      <t xml:space="preserve">조직운영
</t>
    </r>
    <r>
      <rPr>
        <sz val="10"/>
        <color rgb="FF0070C0"/>
        <rFont val="Aptos Narrow"/>
      </rPr>
      <t xml:space="preserve">ㄴ 2025년 팀 평가 제출 (팀원 3명, 팀장 1명)
</t>
    </r>
    <r>
      <rPr>
        <b/>
        <sz val="10"/>
        <color rgb="FF0070C0"/>
        <rFont val="Aptos Narrow"/>
      </rPr>
      <t xml:space="preserve">보고 및 결정 사항
</t>
    </r>
    <r>
      <rPr>
        <sz val="10"/>
        <color rgb="FF0070C0"/>
        <rFont val="Aptos Narrow"/>
      </rPr>
      <t xml:space="preserve">ㄴ 인원계획 대표님  의사결정에 따른 최종안 작성 및 결재
</t>
    </r>
    <r>
      <rPr>
        <b/>
        <sz val="10"/>
        <color rgb="FFFF0000"/>
        <rFont val="Aptos Narrow"/>
      </rPr>
      <t>ㄴ KPI 설정 방식 및 기준 - 대표님 협의 및 최종안 결정</t>
    </r>
  </si>
  <si>
    <r>
      <rPr>
        <b/>
        <sz val="10"/>
        <color rgb="FF000000"/>
        <rFont val="Aptos Narrow"/>
        <scheme val="minor"/>
      </rPr>
      <t xml:space="preserve">[한양대 치매코호트 용역]
</t>
    </r>
    <r>
      <rPr>
        <sz val="10"/>
        <color rgb="FF000000"/>
        <rFont val="Aptos Narrow"/>
        <scheme val="minor"/>
      </rPr>
      <t>*사업 진행 여부 및 방향 협의 (2.23 월)
ㄴ 사업범위 : 유지보수, 25년도 미구현사항 및 이슈해결, AI 서비스 연결</t>
    </r>
  </si>
  <si>
    <r>
      <rPr>
        <b/>
        <sz val="10"/>
        <color rgb="FF000000"/>
        <rFont val="Aptos Narrow"/>
        <scheme val="minor"/>
      </rPr>
      <t xml:space="preserve">[한양대 치매코호트 용역]
</t>
    </r>
    <r>
      <rPr>
        <sz val="10"/>
        <color rgb="FF000000"/>
        <rFont val="Aptos Narrow"/>
        <scheme val="minor"/>
      </rPr>
      <t>*사업계약 준비
ㄴ 세부 수행 범위 및 소요 비용산정(인건비 + 시스템 유지비용)</t>
    </r>
  </si>
  <si>
    <r>
      <rPr>
        <b/>
        <sz val="10"/>
        <color rgb="FFFF0000"/>
        <rFont val="Aptos Narrow"/>
      </rPr>
      <t xml:space="preserve">요청사항 - 25년도 업무 관련자 협의 필요
</t>
    </r>
    <r>
      <rPr>
        <sz val="10"/>
        <color rgb="FF0070C0"/>
        <rFont val="Aptos Narrow"/>
      </rPr>
      <t>ㄴ 2025년도 진행사항에 대한 인수인계
ㄴ 2025년 계약서, 견적서, 협의사항 및 구현 산출물(기획서 등)</t>
    </r>
  </si>
  <si>
    <r>
      <rPr>
        <b/>
        <sz val="10"/>
        <color rgb="FF000000"/>
        <rFont val="Aptos Narrow"/>
        <scheme val="minor"/>
      </rPr>
      <t xml:space="preserve">[제주대학교 임상실증 용역]
</t>
    </r>
    <r>
      <rPr>
        <sz val="10"/>
        <color rgb="FF000000"/>
        <rFont val="Aptos Narrow"/>
        <scheme val="minor"/>
      </rPr>
      <t>*사업 수행 계약 준비 (지연)
ㄴ 사업수행 범위 및 견적 작성 : 예상 견정 4000만원 이내</t>
    </r>
  </si>
  <si>
    <r>
      <rPr>
        <b/>
        <sz val="10"/>
        <color rgb="FF000000"/>
        <rFont val="Aptos Narrow"/>
        <scheme val="minor"/>
      </rPr>
      <t xml:space="preserve">[제주대학교 임상실증 용역]
</t>
    </r>
    <r>
      <rPr>
        <sz val="10"/>
        <color rgb="FF000000"/>
        <rFont val="Aptos Narrow"/>
        <scheme val="minor"/>
      </rPr>
      <t>*사업 수행 계약 준비
ㄴ 사업수행 범위 및 견적 : (진행)</t>
    </r>
  </si>
  <si>
    <r>
      <rPr>
        <b/>
        <sz val="10"/>
        <color rgb="FF0070C0"/>
        <rFont val="Aptos Narrow"/>
      </rPr>
      <t xml:space="preserve">진행 논의사항 요약 
</t>
    </r>
    <r>
      <rPr>
        <b/>
        <sz val="10"/>
        <color rgb="FFFF0000"/>
        <rFont val="Aptos Narrow"/>
      </rPr>
      <t xml:space="preserve">ㄴ 견적금약 4000만원 진행예정
</t>
    </r>
    <r>
      <rPr>
        <b/>
        <sz val="10"/>
        <color rgb="FF0070C0"/>
        <rFont val="Aptos Narrow"/>
      </rPr>
      <t xml:space="preserve">ㄴ 계약 수주 및 견적 작성 지원 필요 (To WHO)
AI Agent 개발 도구 라이센스 
</t>
    </r>
    <r>
      <rPr>
        <sz val="10"/>
        <color rgb="FF0070C0"/>
        <rFont val="Aptos Narrow"/>
      </rPr>
      <t>- Claude Code MAX 라이센스 1개 월 100$ 승인 검토</t>
    </r>
  </si>
  <si>
    <r>
      <rPr>
        <b/>
        <sz val="10"/>
        <color rgb="FF000000"/>
        <rFont val="Aptos Narrow"/>
        <scheme val="minor"/>
      </rPr>
      <t xml:space="preserve">[보건복지부 글로벌 지원사업 - 지원 ] - 3월 10일 18:00 전자메일 제출
</t>
    </r>
    <r>
      <rPr>
        <sz val="10"/>
        <color rgb="FF000000"/>
        <rFont val="Aptos Narrow"/>
        <scheme val="minor"/>
      </rPr>
      <t>*사업계획서 작성 : 엘로디 초안 검토 및 조정 (정우철)
* 과제 행정 및 제출서류 : 권현하</t>
    </r>
  </si>
  <si>
    <r>
      <rPr>
        <b/>
        <sz val="10"/>
        <color rgb="FF000000"/>
        <rFont val="Aptos Narrow"/>
        <scheme val="minor"/>
      </rPr>
      <t xml:space="preserve">[보건복지부 글로벌 지원사업 - 지원 ]
</t>
    </r>
    <r>
      <rPr>
        <sz val="10"/>
        <color rgb="FF000000"/>
        <rFont val="Aptos Narrow"/>
        <scheme val="minor"/>
      </rPr>
      <t>*사업계획서 작성 : 엘로디 초안 검토 및 수정 (정우철)
* 과제 행정 및 제출서류 : 권현하</t>
    </r>
  </si>
  <si>
    <t>수행일정
ㄴ 사업계획서 수정 작업 1차버전 : 3.6 금 까지</t>
  </si>
  <si>
    <t>가상병원용인</t>
  </si>
  <si>
    <r>
      <rPr>
        <b/>
        <sz val="10"/>
        <color rgb="FF000000"/>
        <rFont val="Aptos Narrow"/>
        <scheme val="minor"/>
      </rPr>
      <t xml:space="preserve">[시스템 실증]
</t>
    </r>
    <r>
      <rPr>
        <sz val="10"/>
        <color rgb="FF000000"/>
        <rFont val="Aptos Narrow"/>
        <scheme val="minor"/>
      </rPr>
      <t>*가상병원 시스템 운영 전환 (2.10 화)
ㄴ 운영전환 및 이슈사항 대용 - 시스템 모니터링 (외래 최적화 API 사용량 전달)</t>
    </r>
  </si>
  <si>
    <r>
      <rPr>
        <b/>
        <sz val="10"/>
        <color rgb="FF000000"/>
        <rFont val="Aptos Narrow"/>
        <scheme val="minor"/>
      </rPr>
      <t xml:space="preserve">[시스템 실증]
</t>
    </r>
    <r>
      <rPr>
        <sz val="10"/>
        <color rgb="FF000000"/>
        <rFont val="Aptos Narrow"/>
        <scheme val="minor"/>
      </rPr>
      <t xml:space="preserve">*가상병원 시스템 운영 모니터링 및 지원 (~ 계속)
</t>
    </r>
  </si>
  <si>
    <r>
      <rPr>
        <b/>
        <sz val="10"/>
        <color rgb="FF000000"/>
        <rFont val="Aptos Narrow"/>
        <scheme val="minor"/>
      </rPr>
      <t xml:space="preserve">[2단계 1차년도 수행목표]
</t>
    </r>
    <r>
      <rPr>
        <sz val="10"/>
        <color rgb="FF000000"/>
        <rFont val="Aptos Narrow"/>
        <scheme val="minor"/>
      </rPr>
      <t>*2단계 1차년도 : 기구축 시스템 실증 고도화 방향 검토</t>
    </r>
  </si>
  <si>
    <r>
      <rPr>
        <b/>
        <sz val="10"/>
        <color rgb="FF000000"/>
        <rFont val="Aptos Narrow"/>
        <scheme val="minor"/>
      </rPr>
      <t xml:space="preserve">[2단계 1차년도 수행목표]
</t>
    </r>
    <r>
      <rPr>
        <sz val="10"/>
        <color rgb="FF000000"/>
        <rFont val="Aptos Narrow"/>
        <scheme val="minor"/>
      </rPr>
      <t>* 외래 밀집도 검증 및 고도화
ㄴ 26년도 수행 Action Plan 수립
* 대시보드통합 및 프로세스마이닝 협의 (3월 11일 예정)
ㄴ 관련 논의사항에 대한 내부 협의</t>
    </r>
  </si>
  <si>
    <t>비대면과제</t>
  </si>
  <si>
    <r>
      <rPr>
        <b/>
        <sz val="10"/>
        <color rgb="FF000000"/>
        <rFont val="Aptos Narrow"/>
        <scheme val="minor"/>
      </rPr>
      <t xml:space="preserve">[웨어러블 의료기기 로지스틱 개발]
</t>
    </r>
    <r>
      <rPr>
        <sz val="10"/>
        <color rgb="FF000000"/>
        <rFont val="Aptos Narrow"/>
        <scheme val="minor"/>
      </rPr>
      <t>* 요구사항 분석 - IA 작성 방법 논의
* 과제 수행 관련 회의:  2.24 화 W 스카이랩스
ㄴ 환자할당해제 : 스카이랩스에서 자체적으로 수행
ㄴ 로직스틱 개발 적용 방안 : 별도 개발 메뉴선택 시 Iframe로  적용
* 일산병원 요구사항협의 일정
ㄴ (일정변경) 3월초 -&gt; 별도일정 (일산에서 전달예정</t>
    </r>
  </si>
  <si>
    <r>
      <rPr>
        <b/>
        <sz val="10"/>
        <color rgb="FF000000"/>
        <rFont val="Aptos Narrow"/>
        <scheme val="minor"/>
      </rPr>
      <t xml:space="preserve">[웨어러블 의료기기 로지스틱 개발]
</t>
    </r>
    <r>
      <rPr>
        <sz val="10"/>
        <color rgb="FF000000"/>
        <rFont val="Aptos Narrow"/>
        <scheme val="minor"/>
      </rPr>
      <t>* 요구사항 분석 - IA 리뷰 (데이터항목정의서, 기능명세서)
* 일산병원 요구사항협의 일정 
ㄴ 일정 확정 후 진행 예정</t>
    </r>
  </si>
  <si>
    <t>이성전</t>
  </si>
  <si>
    <t>질병관리청 AX</t>
  </si>
  <si>
    <r>
      <rPr>
        <b/>
        <sz val="10"/>
        <color rgb="FF000000"/>
        <rFont val="Aptos Narrow"/>
        <scheme val="minor"/>
      </rPr>
      <t xml:space="preserve">[공통]
</t>
    </r>
    <r>
      <rPr>
        <sz val="10"/>
        <color rgb="FF000000"/>
        <rFont val="Aptos Narrow"/>
        <scheme val="minor"/>
      </rPr>
      <t xml:space="preserve"> * 통합 시스템 구축
 ㄴ GPU 서버의 학습기간 동안 코로케이션 서비스 검토
 ㄴ KT IDC 코로케이션 서비스 비용 확인 --&gt; 198만원/월, 6개월
 ㄴ 위험평가 WEB/WAS 서버의 SaaS 이용 검토 --&gt; 검토 진행 중, 비용확인 예정
[</t>
    </r>
    <r>
      <rPr>
        <b/>
        <sz val="10"/>
        <color rgb="FF000000"/>
        <rFont val="Aptos Narrow"/>
        <scheme val="minor"/>
      </rPr>
      <t xml:space="preserve">방역용 AI 어시스턴트]
 </t>
    </r>
    <r>
      <rPr>
        <sz val="10"/>
        <color rgb="FF000000"/>
        <rFont val="Aptos Narrow"/>
        <scheme val="minor"/>
      </rPr>
      <t>* 1339 콜센터 상담 데이터 수집
 ㄴ 개인정보 비식별 자료에 대한 법률검토 논의 (w/ 홍성표 대표님)
[</t>
    </r>
    <r>
      <rPr>
        <b/>
        <sz val="10"/>
        <color rgb="FF000000"/>
        <rFont val="Aptos Narrow"/>
        <scheme val="minor"/>
      </rPr>
      <t xml:space="preserve">역학조사 고도화]
 </t>
    </r>
    <r>
      <rPr>
        <sz val="10"/>
        <color rgb="FF000000"/>
        <rFont val="Aptos Narrow"/>
        <scheme val="minor"/>
      </rPr>
      <t xml:space="preserve">* 요구기능 수집 및 검토/협의 </t>
    </r>
  </si>
  <si>
    <r>
      <rPr>
        <b/>
        <sz val="10"/>
        <color rgb="FF000000"/>
        <rFont val="Aptos Narrow"/>
        <scheme val="minor"/>
      </rPr>
      <t>[공통]
 *</t>
    </r>
    <r>
      <rPr>
        <sz val="10"/>
        <color rgb="FF000000"/>
        <rFont val="Aptos Narrow"/>
        <scheme val="minor"/>
      </rPr>
      <t xml:space="preserve"> 통합 시스템 구축
 ㄴ 시스템 구성 협의/조정
</t>
    </r>
    <r>
      <rPr>
        <b/>
        <sz val="10"/>
        <color rgb="FF000000"/>
        <rFont val="Aptos Narrow"/>
        <scheme val="minor"/>
      </rPr>
      <t xml:space="preserve">
[방역용 AI 어시스턴트]
</t>
    </r>
    <r>
      <rPr>
        <sz val="10"/>
        <color rgb="FF000000"/>
        <rFont val="Aptos Narrow"/>
        <scheme val="minor"/>
      </rPr>
      <t xml:space="preserve"> * 1339 콜센터 상담 데이터 수집
 ㄴ 개인정보 비식별 자료 선별 사용에 대한 법률 검토
 *  챗봇 학습 데이터 사이트 연계 방안 논의
</t>
    </r>
    <r>
      <rPr>
        <b/>
        <sz val="10"/>
        <color rgb="FF000000"/>
        <rFont val="Aptos Narrow"/>
        <scheme val="minor"/>
      </rPr>
      <t xml:space="preserve">
[역학조사 고도화]
 *</t>
    </r>
    <r>
      <rPr>
        <sz val="10"/>
        <color rgb="FF000000"/>
        <rFont val="Aptos Narrow"/>
        <scheme val="minor"/>
      </rPr>
      <t xml:space="preserve"> 요구기능 수집 및 검토/협의(계속)</t>
    </r>
  </si>
  <si>
    <r>
      <rPr>
        <b/>
        <sz val="10"/>
        <color rgb="FF000000"/>
        <rFont val="Aptos Narrow"/>
        <scheme val="minor"/>
      </rPr>
      <t xml:space="preserve">[모바일팀 인수인계 ]
</t>
    </r>
    <r>
      <rPr>
        <sz val="10"/>
        <color rgb="FF000000"/>
        <rFont val="Aptos Narrow"/>
        <scheme val="minor"/>
      </rPr>
      <t xml:space="preserve">* 업무 지원
</t>
    </r>
    <r>
      <rPr>
        <b/>
        <sz val="10"/>
        <color rgb="FF000000"/>
        <rFont val="Aptos Narrow"/>
        <scheme val="minor"/>
      </rPr>
      <t xml:space="preserve">[AX Sprint 스마트 노인요양시설 표준모델]
</t>
    </r>
    <r>
      <rPr>
        <sz val="10"/>
        <color rgb="FF000000"/>
        <rFont val="Aptos Narrow"/>
        <scheme val="minor"/>
      </rPr>
      <t xml:space="preserve">* 컨소시엄 구성 조건 업데이트
ㄴ 2개소 이상 요양시설 필요
ㄴ 장기요양시설은 공공 또는 비영리, 100인 이상
</t>
    </r>
    <r>
      <rPr>
        <b/>
        <sz val="10"/>
        <color rgb="FF000000"/>
        <rFont val="Aptos Narrow"/>
        <scheme val="minor"/>
      </rPr>
      <t xml:space="preserve">[제주대학교 분산형 임상시험 솔루션 구축]
</t>
    </r>
    <r>
      <rPr>
        <sz val="10"/>
        <color rgb="FF000000"/>
        <rFont val="Aptos Narrow"/>
        <scheme val="minor"/>
      </rPr>
      <t xml:space="preserve"> * N/A</t>
    </r>
  </si>
  <si>
    <r>
      <rPr>
        <b/>
        <sz val="10"/>
        <color rgb="FF000000"/>
        <rFont val="Aptos Narrow"/>
        <scheme val="minor"/>
      </rPr>
      <t xml:space="preserve">[모바일팀 인수인계 ]
</t>
    </r>
    <r>
      <rPr>
        <sz val="10"/>
        <color rgb="FF000000"/>
        <rFont val="Aptos Narrow"/>
        <scheme val="minor"/>
      </rPr>
      <t xml:space="preserve">* 개발 소스코드 인수인계 진행
</t>
    </r>
    <r>
      <rPr>
        <b/>
        <sz val="10"/>
        <color rgb="FF000000"/>
        <rFont val="Aptos Narrow"/>
        <scheme val="minor"/>
      </rPr>
      <t xml:space="preserve">[AX Sprint 스마트 노인요양시설 표준모델]
</t>
    </r>
    <r>
      <rPr>
        <sz val="10"/>
        <color rgb="FF000000"/>
        <rFont val="Aptos Narrow"/>
        <scheme val="minor"/>
      </rPr>
      <t xml:space="preserve">* 컨소시엄 구성 관련 업무협의
</t>
    </r>
    <r>
      <rPr>
        <b/>
        <sz val="10"/>
        <color rgb="FF000000"/>
        <rFont val="Aptos Narrow"/>
        <scheme val="minor"/>
      </rPr>
      <t xml:space="preserve">[제주대학교 분산형 임상시험 솔루션 구축]
</t>
    </r>
    <r>
      <rPr>
        <sz val="10"/>
        <color rgb="FF000000"/>
        <rFont val="Aptos Narrow"/>
        <scheme val="minor"/>
      </rPr>
      <t>* 문의응대</t>
    </r>
  </si>
  <si>
    <t>김영상</t>
  </si>
  <si>
    <r>
      <rPr>
        <b/>
        <sz val="10"/>
        <color rgb="FF000000"/>
        <rFont val="Aptos Narrow"/>
      </rPr>
      <t xml:space="preserve">[조직운영관리]
</t>
    </r>
    <r>
      <rPr>
        <sz val="10"/>
        <color rgb="FF000000"/>
        <rFont val="Aptos Narrow"/>
      </rPr>
      <t>*02/23(월) 오후 2시 2025년도 인사평가 면담 진행</t>
    </r>
  </si>
  <si>
    <t xml:space="preserve">
</t>
  </si>
  <si>
    <r>
      <rPr>
        <b/>
        <sz val="10"/>
        <color rgb="FF000000"/>
        <rFont val="Aptos Narrow"/>
      </rPr>
      <t xml:space="preserve">[지식재산권]
</t>
    </r>
    <r>
      <rPr>
        <sz val="10"/>
        <color rgb="FF000000"/>
        <rFont val="Aptos Narrow"/>
      </rPr>
      <t>*"병상디스플레이 기능" 특허 일반 출원 진행 (약 4주 소요 예상)</t>
    </r>
  </si>
  <si>
    <r>
      <rPr>
        <b/>
        <sz val="10"/>
        <color rgb="FF000000"/>
        <rFont val="Aptos Narrow"/>
      </rPr>
      <t xml:space="preserve">[지식재산권]
</t>
    </r>
    <r>
      <rPr>
        <sz val="10"/>
        <color rgb="FF000000"/>
        <rFont val="Aptos Narrow"/>
      </rPr>
      <t>*"병상디스플레이 기능" 특허 출원 진행</t>
    </r>
  </si>
  <si>
    <t>5G 1세부(현장수요)</t>
  </si>
  <si>
    <r>
      <rPr>
        <b/>
        <sz val="10"/>
        <color rgb="FF000000"/>
        <rFont val="Aptos Narrow"/>
      </rPr>
      <t xml:space="preserve">[실증 준비]
</t>
    </r>
    <r>
      <rPr>
        <sz val="10"/>
        <color rgb="FF000000"/>
        <rFont val="Aptos Narrow"/>
      </rPr>
      <t xml:space="preserve">* 02/24(화) 신광 방문 : 서버 재기동 및 설정 지원 &gt; 환자 연동 확인
</t>
    </r>
  </si>
  <si>
    <r>
      <rPr>
        <b/>
        <sz val="10"/>
        <color rgb="FF000000"/>
        <rFont val="Aptos Narrow"/>
      </rPr>
      <t xml:space="preserve">[실증 준비]
</t>
    </r>
    <r>
      <rPr>
        <sz val="10"/>
        <color rgb="FF000000"/>
        <rFont val="Aptos Narrow"/>
      </rPr>
      <t xml:space="preserve">* 전광판 연동 상용 연동 Test 원격 지원 예정
* 하이젠 위치/Bed/이미지 연동 개발 Test 진행 예정 
</t>
    </r>
  </si>
  <si>
    <r>
      <rPr>
        <b/>
        <sz val="10"/>
        <color rgb="FF000000"/>
        <rFont val="Aptos Narrow"/>
      </rPr>
      <t xml:space="preserve">[연구개발수행]
</t>
    </r>
    <r>
      <rPr>
        <sz val="10"/>
        <color rgb="FF000000"/>
        <rFont val="Aptos Narrow"/>
      </rPr>
      <t>* 네트워크 고도화 진행 관련 타업체 견적서 2개 추가 전달 완료
* 외부디스플레이 화면 기획 검토 : 02월 27일(금) 디자인 완료 예정
* 2026년 수행 목표 수립</t>
    </r>
  </si>
  <si>
    <r>
      <rPr>
        <b/>
        <sz val="10"/>
        <color rgb="FF000000"/>
        <rFont val="Aptos Narrow"/>
      </rPr>
      <t xml:space="preserve">[연구개발수행]
</t>
    </r>
    <r>
      <rPr>
        <sz val="10"/>
        <color rgb="FF000000"/>
        <rFont val="Aptos Narrow"/>
      </rPr>
      <t>* 외부 디스플레이 디자인 화면 검토 예정
* 2026년 수행 목표 수립 검토 회의 예정</t>
    </r>
  </si>
  <si>
    <t xml:space="preserve">비용절감사항
ㄴ 네트워크 고도화 비용 : 주관에서 집행 결정
ㄴ 600만원 (정부지원금 대비 10+ %)
</t>
  </si>
  <si>
    <t>AI영상검사</t>
  </si>
  <si>
    <t>과제0011</t>
  </si>
  <si>
    <t>-</t>
  </si>
  <si>
    <r>
      <rPr>
        <b/>
        <sz val="10"/>
        <color rgb="FF000000"/>
        <rFont val="Aptos Narrow"/>
      </rPr>
      <t xml:space="preserve">[AI MRI Test]
</t>
    </r>
    <r>
      <rPr>
        <sz val="10"/>
        <color rgb="FF000000"/>
        <rFont val="Aptos Narrow"/>
      </rPr>
      <t>* 개선 개발 사항 Test</t>
    </r>
  </si>
  <si>
    <t>DX</t>
  </si>
  <si>
    <t>가상병원_한림(2025년)</t>
  </si>
  <si>
    <t>HAX-의료-25004</t>
  </si>
  <si>
    <r>
      <rPr>
        <b/>
        <sz val="10"/>
        <color rgb="FF000000"/>
        <rFont val="Aptos Narrow"/>
      </rPr>
      <t xml:space="preserve">[연구개발수행]
</t>
    </r>
    <r>
      <rPr>
        <sz val="10"/>
        <color rgb="FF000000"/>
        <rFont val="Aptos Narrow"/>
      </rPr>
      <t>* 2026년 수행 목표 수립</t>
    </r>
  </si>
  <si>
    <r>
      <rPr>
        <b/>
        <sz val="10"/>
        <color rgb="FF000000"/>
        <rFont val="Aptos Narrow"/>
      </rPr>
      <t xml:space="preserve">[연구개발수행]
</t>
    </r>
    <r>
      <rPr>
        <sz val="10"/>
        <color rgb="FF000000"/>
        <rFont val="Aptos Narrow"/>
      </rPr>
      <t xml:space="preserve">* 03/03일(화) 2026년 수행 목표 수립 검토 회의
</t>
    </r>
    <r>
      <rPr>
        <b/>
        <sz val="10"/>
        <color rgb="FF000000"/>
        <rFont val="Aptos Narrow"/>
      </rPr>
      <t xml:space="preserve">[일산병원]
</t>
    </r>
    <r>
      <rPr>
        <sz val="10"/>
        <color rgb="FF000000"/>
        <rFont val="Aptos Narrow"/>
      </rPr>
      <t>* 03/04일(수) 자산고도화 2차 배포 예정</t>
    </r>
  </si>
  <si>
    <t>권현하</t>
  </si>
  <si>
    <t>해외진출지원</t>
  </si>
  <si>
    <r>
      <rPr>
        <b/>
        <sz val="10"/>
        <color rgb="FF000000"/>
        <rFont val="Arial"/>
      </rPr>
      <t xml:space="preserve">[신규과제준비]
</t>
    </r>
    <r>
      <rPr>
        <sz val="10"/>
        <color rgb="FF000000"/>
        <rFont val="Arial"/>
      </rPr>
      <t>* 사업계획서 작성 관련 규정 및 예산 검토(보산진 문의)
ㄴ 외부용역기업 기준, 발표 관련, 예산 사용 기준 등
* 제출 서류 작성</t>
    </r>
  </si>
  <si>
    <r>
      <rPr>
        <b/>
        <sz val="10"/>
        <color rgb="FF000000"/>
        <rFont val="Arial"/>
      </rPr>
      <t xml:space="preserve">[신규과제준비]
</t>
    </r>
    <r>
      <rPr>
        <sz val="10"/>
        <color rgb="FF000000"/>
        <rFont val="Arial"/>
      </rPr>
      <t>* 사업비 비목 및 인건비 검토
* 제출 서류 준비완료</t>
    </r>
  </si>
  <si>
    <t>과제0024</t>
  </si>
  <si>
    <r>
      <rPr>
        <b/>
        <sz val="10"/>
        <color rgb="FF000000"/>
        <rFont val="Arial"/>
      </rPr>
      <t xml:space="preserve">[연구개발] - 웨어러블 로지스틱 관리
</t>
    </r>
    <r>
      <rPr>
        <sz val="10"/>
        <color rgb="FF000000"/>
        <rFont val="Arial"/>
      </rPr>
      <t>* 스카이랩스: 환자-장비 연동 방안 회의 진행(2/24)
* 일산병원 요구사항 및 인터뷰 분석서(질의서) 기반 협의 일자 검토중
* 요구사항 및 분석 항목 구체화</t>
    </r>
  </si>
  <si>
    <r>
      <rPr>
        <b/>
        <sz val="10"/>
        <color rgb="FF000000"/>
        <rFont val="Arial"/>
      </rPr>
      <t xml:space="preserve">[연구개발] - 웨어러블 로지스틱 관리
</t>
    </r>
    <r>
      <rPr>
        <sz val="10"/>
        <color rgb="FF000000"/>
        <rFont val="Arial"/>
      </rPr>
      <t>* 일산병원 요구사항 및 인터뷰 분석서(질의서) 기반 미팅 확정
* 요구사항 및 분석 항목 구체화</t>
    </r>
  </si>
  <si>
    <t>IoMT과제</t>
  </si>
  <si>
    <r>
      <rPr>
        <b/>
        <sz val="10"/>
        <color rgb="FF000000"/>
        <rFont val="Arial"/>
      </rPr>
      <t xml:space="preserve">[성과 검토]
</t>
    </r>
    <r>
      <rPr>
        <sz val="10"/>
        <color rgb="FF000000"/>
        <rFont val="Arial"/>
      </rPr>
      <t>* 성과활용보고서 제출을 위한 2025년 성과 발생 현황 검토</t>
    </r>
  </si>
  <si>
    <r>
      <rPr>
        <b/>
        <sz val="10"/>
        <color rgb="FF000000"/>
        <rFont val="Arial"/>
      </rPr>
      <t xml:space="preserve">[성과 검토]
</t>
    </r>
    <r>
      <rPr>
        <sz val="10"/>
        <color rgb="FF000000"/>
        <rFont val="Arial"/>
      </rPr>
      <t>* 성과물 발생시 성과 등록 예정</t>
    </r>
  </si>
  <si>
    <t>5G 3세부(재난현장)</t>
  </si>
  <si>
    <r>
      <rPr>
        <b/>
        <sz val="10"/>
        <color rgb="FF000000"/>
        <rFont val="Arial"/>
      </rPr>
      <t xml:space="preserve">[RCMS]
</t>
    </r>
    <r>
      <rPr>
        <sz val="10"/>
        <color rgb="FF000000"/>
        <rFont val="Arial"/>
      </rPr>
      <t>* 사업비 집행 중지 상태 검토</t>
    </r>
  </si>
  <si>
    <r>
      <rPr>
        <b/>
        <sz val="10"/>
        <color rgb="FF002060"/>
        <rFont val="Aptos Narrow"/>
        <scheme val="minor"/>
      </rPr>
      <t xml:space="preserve">RCMS 연구비 집행 중지상태
</t>
    </r>
    <r>
      <rPr>
        <sz val="10"/>
        <color rgb="FF002060"/>
        <rFont val="Aptos Narrow"/>
        <scheme val="minor"/>
      </rPr>
      <t>- RCMS 민간부담금 납부 일자 오류로 미입금 처리됨
- 차년도 협약 완료 후 해결 가능</t>
    </r>
  </si>
  <si>
    <t>NIPA(공공AX)</t>
  </si>
  <si>
    <t>과제0026</t>
  </si>
  <si>
    <r>
      <rPr>
        <b/>
        <sz val="10"/>
        <color rgb="FF000000"/>
        <rFont val="Arial"/>
      </rPr>
      <t xml:space="preserve">[협약 완료 및 사업비 신청]
</t>
    </r>
    <r>
      <rPr>
        <sz val="10"/>
        <color rgb="FF000000"/>
        <rFont val="Arial"/>
      </rPr>
      <t>* 협약 완료 후 신규 과제코드 생성을 위한 공문 작성
* 1차 사업비 신청 서류 준비</t>
    </r>
  </si>
  <si>
    <r>
      <rPr>
        <b/>
        <sz val="10"/>
        <color rgb="FF000000"/>
        <rFont val="Arial"/>
      </rPr>
      <t xml:space="preserve">[사업비 신청]
</t>
    </r>
    <r>
      <rPr>
        <sz val="10"/>
        <color rgb="FF000000"/>
        <rFont val="Arial"/>
      </rPr>
      <t>- NIPA 협약 제출 관련 이슈 대응</t>
    </r>
  </si>
  <si>
    <t>문선홍</t>
  </si>
  <si>
    <t>AX공통</t>
  </si>
  <si>
    <r>
      <rPr>
        <b/>
        <sz val="10"/>
        <color rgb="FF000000"/>
        <rFont val="Aptos Narrow"/>
      </rPr>
      <t xml:space="preserve">[2025년도 평가 및 2026년 KPI 수립]
</t>
    </r>
    <r>
      <rPr>
        <sz val="10"/>
        <color rgb="FF000000"/>
        <rFont val="Aptos Narrow"/>
      </rPr>
      <t>* (완료) 2025년도 평가 : 1차 평가 (송하은, 최혜주)
* (진행중) 2026년도 AX 파트 KPI 수립</t>
    </r>
  </si>
  <si>
    <r>
      <rPr>
        <b/>
        <sz val="10"/>
        <color rgb="FF000000"/>
        <rFont val="Aptos Narrow"/>
      </rPr>
      <t xml:space="preserve">[2025년도 평가 및 2026년 KPI 수립]
</t>
    </r>
    <r>
      <rPr>
        <sz val="10"/>
        <color rgb="FF000000"/>
        <rFont val="Aptos Narrow"/>
      </rPr>
      <t>* (완료예정) 2026년도 AX 파트 KPI 수립</t>
    </r>
  </si>
  <si>
    <r>
      <rPr>
        <b/>
        <sz val="10"/>
        <color rgb="FF000000"/>
        <rFont val="Aptos Narrow"/>
      </rPr>
      <t xml:space="preserve">[2026년 개발 계획 수립]
</t>
    </r>
    <r>
      <rPr>
        <sz val="10"/>
        <color rgb="FF000000"/>
        <rFont val="Aptos Narrow"/>
      </rPr>
      <t>* (진행중) 질병 관리청 AX / 일산병원 스케일업팁스 개발 계획 수립 
   ㄴ (완료) AX 파트의 개발 계획 
   ㄴ (완료) '26년 AX 파트 인력 계획
   ㄴ (지연) 필요 자원 (장비/인력) 수급 계획 및 일정 
 * (지연) 식약처 인증 계획 및 방안</t>
    </r>
  </si>
  <si>
    <r>
      <rPr>
        <b/>
        <sz val="10"/>
        <color rgb="FF000000"/>
        <rFont val="Aptos Narrow"/>
      </rPr>
      <t xml:space="preserve">[2026년 개발 계획 수립]
</t>
    </r>
    <r>
      <rPr>
        <sz val="10"/>
        <color rgb="FF000000"/>
        <rFont val="Aptos Narrow"/>
      </rPr>
      <t>* (완료예정) 질병 관리청 AX / 일산병원 스케일업팁스 개발 계획 수립 
   ㄴ (완료예정) 개인별  개발 계획 
   ㄴ (완료예정) 필요 자원 (장비/인력) 수급 계획 및 일정 
 * (진행예정) 식약처 인증 계획 및 방안</t>
    </r>
  </si>
  <si>
    <t>스케일업팁스일산</t>
  </si>
  <si>
    <r>
      <rPr>
        <b/>
        <sz val="10"/>
        <color rgb="FF000000"/>
        <rFont val="Aptos Narrow"/>
      </rPr>
      <t xml:space="preserve">[과제관리]
</t>
    </r>
    <r>
      <rPr>
        <sz val="10"/>
        <color rgb="FF000000"/>
        <rFont val="Aptos Narrow"/>
      </rPr>
      <t>* 해당 없음</t>
    </r>
  </si>
  <si>
    <t>[과제관리]
* 해당 없음</t>
  </si>
  <si>
    <r>
      <rPr>
        <b/>
        <sz val="10"/>
        <color rgb="FF000000"/>
        <rFont val="Aptos Narrow"/>
      </rPr>
      <t xml:space="preserve">[의료 AI 서비스 기획]
</t>
    </r>
    <r>
      <rPr>
        <sz val="10"/>
        <color rgb="FF000000"/>
        <rFont val="Aptos Narrow"/>
      </rPr>
      <t>* (진행중) 서비스 컨셉 기획 : 주요기능 및 서비스 항목 정의 
* (진행중) 요구사항 정의 : 서비스 요구 사항 초안 도출</t>
    </r>
    <r>
      <rPr>
        <b/>
        <sz val="10"/>
        <color rgb="FF000000"/>
        <rFont val="Aptos Narrow"/>
      </rPr>
      <t xml:space="preserve"> 
</t>
    </r>
    <r>
      <rPr>
        <sz val="10"/>
        <color rgb="FF000000"/>
        <rFont val="Aptos Narrow"/>
      </rPr>
      <t xml:space="preserve">* (완료) 학습데이터셋 : 공공데이터 데이터 수집 방안 수립 </t>
    </r>
  </si>
  <si>
    <r>
      <rPr>
        <b/>
        <sz val="10"/>
        <color rgb="FF000000"/>
        <rFont val="Aptos Narrow"/>
      </rPr>
      <t xml:space="preserve">[의료 AI 서비스 기획]
</t>
    </r>
    <r>
      <rPr>
        <sz val="10"/>
        <color rgb="FF000000"/>
        <rFont val="Aptos Narrow"/>
      </rPr>
      <t>* (완료예정) 서비스 컨셉 기획 : 주요기능 및 서비스 항목 정의 (초안) 
* (완료예정) 요구사항 정의 : 서비스 요구 사항 초안 도출 
* (완료예정) 학습데이터셋 : 수집 대상 데이터 스펙 정리 및 리뷰</t>
    </r>
  </si>
  <si>
    <t>- 일산병원과 요구사항 및 컨셉 리뷰 실무 회의 진행 예정</t>
  </si>
  <si>
    <r>
      <rPr>
        <b/>
        <sz val="10"/>
        <color rgb="FF000000"/>
        <rFont val="Aptos Narrow"/>
      </rPr>
      <t xml:space="preserve">[과제관리]
</t>
    </r>
    <r>
      <rPr>
        <sz val="10"/>
        <color rgb="FF000000"/>
        <rFont val="Aptos Narrow"/>
      </rPr>
      <t xml:space="preserve">* (완료) 방역 어시스턴트 개발 계획 수립 (WBS, 2026년도)
    ㄴ 방역어시스턴트 시스템 설계 및 개발 계획 수립/리뷰
</t>
    </r>
  </si>
  <si>
    <r>
      <rPr>
        <b/>
        <sz val="10"/>
        <color rgb="FF000000"/>
        <rFont val="Aptos Narrow"/>
      </rPr>
      <t xml:space="preserve">[과제관리]
</t>
    </r>
    <r>
      <rPr>
        <sz val="10"/>
        <color rgb="FF000000"/>
        <rFont val="Aptos Narrow"/>
      </rPr>
      <t>* (진행예정) 시스템 구성 및 개발 관련 협의 
   ㄴ PI와 협의 및 R&amp;D 본부와의 협의</t>
    </r>
  </si>
  <si>
    <t>김지환</t>
  </si>
  <si>
    <r>
      <rPr>
        <b/>
        <sz val="10"/>
        <color rgb="FF000000"/>
        <rFont val="Aptos Narrow"/>
      </rPr>
      <t xml:space="preserve">[방역 어시스턴트] - 시연 준비
</t>
    </r>
    <r>
      <rPr>
        <sz val="10"/>
        <color rgb="FF000000"/>
        <rFont val="Aptos Narrow"/>
      </rPr>
      <t>* (지속) 질병관리청 : 담당연구관의 테스트 → 결과에 대한 오류 및 기능 수정 
   ㄴ 오류 사항 없음 (2026.02.27 질병관리청 테스트)
* (지속) 테스트 결과 피드백 대응 : 신규 건 발생 시 대응
   ㄴ 해당 사항 없음
* (완료) 방역어시스턴트 시연 준비 요구 자료 제출
   ㄴ  챗봇 개발 모식도
   ㄴ 제약사항 보완 계획
   ㄴ 학습데이터 현황 및 향후 고도화 계획</t>
    </r>
  </si>
  <si>
    <r>
      <rPr>
        <b/>
        <sz val="10"/>
        <color rgb="FF000000"/>
        <rFont val="Aptos Narrow"/>
      </rPr>
      <t xml:space="preserve">[방역 어시스턴트] - 시연 준비
</t>
    </r>
    <r>
      <rPr>
        <sz val="10"/>
        <color rgb="FF000000"/>
        <rFont val="Aptos Narrow"/>
      </rPr>
      <t>* (지속) 질병관리청 : 담당연구관의 테스트 → 결과에 대한 오류 및 기능 수정 
* (지속) 테스트 결과 피드백 대응 : 신규 건 발생 시 대응</t>
    </r>
  </si>
  <si>
    <t>- 질병관리청장님 향 시연 및 보고 : 26.03.13</t>
  </si>
  <si>
    <r>
      <rPr>
        <b/>
        <sz val="10"/>
        <color rgb="FF000000"/>
        <rFont val="Aptos Narrow"/>
      </rPr>
      <t xml:space="preserve">[방역 어시스턴트] - 문서셋 추가 자동화 
</t>
    </r>
    <r>
      <rPr>
        <sz val="10"/>
        <color rgb="FF000000"/>
        <rFont val="Aptos Narrow"/>
      </rPr>
      <t>* (보류) 향후 질병관리청과 협의 후 개발 진행</t>
    </r>
  </si>
  <si>
    <t xml:space="preserve">[방역 어시스턴트] - 문서셋 추가 자동화 
</t>
  </si>
  <si>
    <r>
      <rPr>
        <b/>
        <sz val="10"/>
        <color rgb="FF000000"/>
        <rFont val="Aptos Narrow"/>
      </rPr>
      <t xml:space="preserve">[역학조사] - 역학조사내 AI 기능 개발 
</t>
    </r>
    <r>
      <rPr>
        <sz val="10"/>
        <color rgb="FF000000"/>
        <rFont val="Aptos Narrow"/>
      </rPr>
      <t>* (지속) 세종지사의 요구 사항 정의 및 분석 진행에 대한 지원
* (보류) 전염병 접촉 N 네트워크 플로팅 방법 조사 (요구사항 및 기능 정의 이후 진행)</t>
    </r>
  </si>
  <si>
    <r>
      <rPr>
        <b/>
        <sz val="10"/>
        <color rgb="FF000000"/>
        <rFont val="Aptos Narrow"/>
      </rPr>
      <t xml:space="preserve">[역학조사] - 역학조사내 AI 기능 개발 
</t>
    </r>
    <r>
      <rPr>
        <sz val="10"/>
        <color rgb="FF000000"/>
        <rFont val="Aptos Narrow"/>
      </rPr>
      <t xml:space="preserve">* (지속) 세종지사의 요구 사항 정의 및 분석 진행에 대한 지원
</t>
    </r>
  </si>
  <si>
    <r>
      <rPr>
        <b/>
        <sz val="10"/>
        <color rgb="FF000000"/>
        <rFont val="Aptos Narrow"/>
      </rPr>
      <t xml:space="preserve">[기타] - 과제 진행 협의 / 인프라 
</t>
    </r>
    <r>
      <rPr>
        <sz val="10"/>
        <color rgb="FF000000"/>
        <rFont val="Aptos Narrow"/>
      </rPr>
      <t xml:space="preserve">* (완료) 2026년도 개발 계획 수립 및 시스템 설계
* (완료) 국정원 보안정책 개선 자료 작성 / 제출 : 서비스 별 AI 모델 현황 조사
* (완료) 과기부 GPU 물량 조사 자료 작성 / 제출 (질병관리청 필요 자원) : 감염병 대응 AX 통합 시스템 개발을 위한 GPU 물량 산정 내역서
</t>
    </r>
  </si>
  <si>
    <r>
      <rPr>
        <b/>
        <sz val="10"/>
        <color rgb="FF000000"/>
        <rFont val="Aptos Narrow"/>
      </rPr>
      <t xml:space="preserve">[기타] - 과제 진행 협의 / 인프라 
</t>
    </r>
    <r>
      <rPr>
        <sz val="10"/>
        <color rgb="FF000000"/>
        <rFont val="Aptos Narrow"/>
      </rPr>
      <t xml:space="preserve">* 해당 없음
</t>
    </r>
  </si>
  <si>
    <t>- (참고)GPU 서버의 인프라 구성에 대한 방안 조사 : 클러스터/쿠버네티스 (Service, ConfigMap 등)</t>
  </si>
  <si>
    <r>
      <rPr>
        <b/>
        <sz val="10"/>
        <color rgb="FF000000"/>
        <rFont val="Aptos Narrow"/>
      </rPr>
      <t xml:space="preserve">[기타] - 모델 및 개발 내용 검토
</t>
    </r>
    <r>
      <rPr>
        <sz val="10"/>
        <color rgb="FF000000"/>
        <rFont val="Aptos Narrow"/>
      </rPr>
      <t xml:space="preserve">* 해당 없음
</t>
    </r>
  </si>
  <si>
    <r>
      <rPr>
        <b/>
        <sz val="10"/>
        <color rgb="FF000000"/>
        <rFont val="Aptos Narrow"/>
      </rPr>
      <t xml:space="preserve">[기타] - 모델 및 개발 내용 검토
</t>
    </r>
    <r>
      <rPr>
        <sz val="10"/>
        <color rgb="FF000000"/>
        <rFont val="Aptos Narrow"/>
      </rPr>
      <t xml:space="preserve">* 소관 업무 분류기 결과 검토 : VIGReg을 적용함으로써 모델 붕괴 없이 학습하는 실험(주연구자: 송하은)의 결과 검토
* 임베딩 모델 결과 검토 : 인코더 온리 모델의 학습(주연구자: 최혜주) 결과에서 Epoch 별 통계 변화 분석 검토
* 추가 문서 변환 (OCR) 모델 결과 검토 : 파싱 단계별 정상 작동 체크, 최종 파싱 결과 정상 유니코드 여부 확인 스크립트 작성(주연구자: 정원희)의 검토
</t>
    </r>
  </si>
  <si>
    <r>
      <rPr>
        <b/>
        <sz val="10"/>
        <color rgb="FF000000"/>
        <rFont val="Aptos Narrow"/>
      </rPr>
      <t xml:space="preserve">[기타] - 과제 산출물 대응 (특허) 
</t>
    </r>
    <r>
      <rPr>
        <sz val="10"/>
        <color rgb="FF000000"/>
        <rFont val="Aptos Narrow"/>
      </rPr>
      <t xml:space="preserve">* 해당 없음
</t>
    </r>
  </si>
  <si>
    <t xml:space="preserve">[기타] - 과제 산출물 대응 (특허) 
* (진행예정) 특허 준비 </t>
  </si>
  <si>
    <t>해외 출원 중인 특허에 대한 후속 특허(P250900, 인공지능을 기반으로 이종 기기의 측정 데이터를 보정하는 전자 장치의 동작 방법)</t>
  </si>
  <si>
    <t>송하은</t>
  </si>
  <si>
    <r>
      <rPr>
        <b/>
        <sz val="10"/>
        <color rgb="FF000000"/>
        <rFont val="Aptos Narrow"/>
      </rPr>
      <t xml:space="preserve">[방역 어시스턴트] 질의 분류기 (소관 업무 분류) 
</t>
    </r>
    <r>
      <rPr>
        <sz val="10"/>
        <color rgb="FF000000"/>
        <rFont val="Aptos Narrow"/>
      </rPr>
      <t>* (완료) 파라미터 튜닝의 학습 모델 학습 (VICReg + Epoch 400)
* (완료) 파라미터 튜닝의 학습 모델 학습 결과 분석 (VICReg + Epoch 400 결과) 
   ㄴ Accuracy 0.957 (기존과 유사)
   ㄴ학습 안정성 개선 확인
* (진행중) 학습 결과에 따른 파라미터 튜닝 및 재학습 (Epoch 100,000)
   ㄴ 학습 수렴도 확인 후 학습 중단 예정</t>
    </r>
  </si>
  <si>
    <r>
      <rPr>
        <b/>
        <sz val="10"/>
        <color rgb="FF000000"/>
        <rFont val="Aptos Narrow"/>
      </rPr>
      <t xml:space="preserve">[방역 어시스턴트] 질의 분류기 (소관 업무 분류) 
</t>
    </r>
    <r>
      <rPr>
        <sz val="10"/>
        <color rgb="FF000000"/>
        <rFont val="Aptos Narrow"/>
      </rPr>
      <t>* (완료예정) 학습 결과에 따른 파라미터 튜닝 및 재학습 (VICReg + Epoch 100,000)
* (완료예정) 파라미터 튜닝 및 재학습 결과 분석 (VICReg + Epoch 100,000)
    ㄴ 학습 수렴 확인된 결과를 기반으로 결과 분석</t>
    </r>
  </si>
  <si>
    <r>
      <rPr>
        <b/>
        <sz val="10"/>
        <color rgb="FF000000"/>
        <rFont val="Aptos Narrow"/>
      </rPr>
      <t xml:space="preserve">[방역 어시스턴트] 타 파운데이션 모델 연구
</t>
    </r>
    <r>
      <rPr>
        <sz val="10"/>
        <color rgb="FF000000"/>
        <rFont val="Aptos Narrow"/>
      </rPr>
      <t>* (완료) microGPT의 구조 연구 및 소스 분석 
    ㄴ 목적 : Decoder Only Model 기술 확보 및 사용 가능성 파악 
    ㄴ 결론 : 향후 필요 시 적용</t>
    </r>
  </si>
  <si>
    <r>
      <rPr>
        <b/>
        <sz val="10"/>
        <color rgb="FF000000"/>
        <rFont val="Aptos Narrow"/>
      </rPr>
      <t xml:space="preserve">[방역 어시스턴트] 타 파운데이션 모델 연구
</t>
    </r>
    <r>
      <rPr>
        <sz val="10"/>
        <color rgb="FF000000"/>
        <rFont val="Aptos Narrow"/>
      </rPr>
      <t>* 해당 없음</t>
    </r>
  </si>
  <si>
    <t>LLM 모델 기술 연구</t>
  </si>
  <si>
    <t>최혜주</t>
  </si>
  <si>
    <r>
      <rPr>
        <b/>
        <sz val="10"/>
        <color rgb="FF000000"/>
        <rFont val="Aptos Narrow"/>
      </rPr>
      <t xml:space="preserve">[방역 어시스턴트] RAG 용 임베딩 모델 개발 (질병도메인 특화) 
</t>
    </r>
    <r>
      <rPr>
        <sz val="10"/>
        <color rgb="FF000000"/>
        <rFont val="Aptos Narrow"/>
      </rPr>
      <t>* (중단) 질병 도메인 데이터셋 Full Set 학습 
  ㄴ 모델 : QLoRA 기반 CPT 
  ㄴ 학습 시스템 변경 : PC -&gt; A100 서버, 서버 성능 변경에 따른 파라미터 변경/테스트
  ㄴ 질병관리청 테스트로 학습 중단 (2026.02.27)</t>
    </r>
  </si>
  <si>
    <r>
      <rPr>
        <b/>
        <sz val="10"/>
        <color rgb="FF000000"/>
        <rFont val="Aptos Narrow"/>
      </rPr>
      <t xml:space="preserve">[방역 어시스턴트] RAG 용 임베딩 모델 개발 (질병도메인 특화) 
</t>
    </r>
    <r>
      <rPr>
        <sz val="10"/>
        <color rgb="FF000000"/>
        <rFont val="Aptos Narrow"/>
      </rPr>
      <t xml:space="preserve">* (진행예정) 질병 도메인 데이터셋 Full Set 학습 
  ㄴ 모델 : QLoRA 기반 CPT 
  ㄴ 학습 재개 (질병관리청 테스트 이후 학습 재개)
* (진행예정) 학습 결과 분석 (QLoRA 기반 CPT) 
 </t>
    </r>
  </si>
  <si>
    <r>
      <rPr>
        <b/>
        <sz val="10"/>
        <color rgb="FF000000"/>
        <rFont val="Aptos Narrow"/>
      </rPr>
      <t xml:space="preserve">[방역 어시스턴트] Agent 개발 연구 (실시간 데이터 연동 기반) 
</t>
    </r>
    <r>
      <rPr>
        <sz val="10"/>
        <color rgb="FF000000"/>
        <rFont val="Aptos Narrow"/>
      </rPr>
      <t>* (진행예정) LLM의 "Tool Calling" 활용 의료 대응 Agent (PoC)
   ㄴ 내용 : MCP 기반 Tool Calling 기능 구현 테스트 (External API 연계 등)
   ㄴ PoC 개발 사항 :  지역명 기반 병원 검색, 앱 내 동적 지도 삽입(외부 어플리케이션)</t>
    </r>
  </si>
  <si>
    <r>
      <rPr>
        <b/>
        <sz val="10"/>
        <color rgb="FF000000"/>
        <rFont val="Aptos Narrow"/>
      </rPr>
      <t xml:space="preserve">[방역 어시스턴트] Agent 개발 연구 (실시간 데이터 연동 기반) 
</t>
    </r>
    <r>
      <rPr>
        <sz val="10"/>
        <color rgb="FF000000"/>
        <rFont val="Aptos Narrow"/>
      </rPr>
      <t xml:space="preserve">* (완료예정) LLM의 "Tool Calling" 활용 의료 대응 Agent (PoC)
   ㄴ 내용 : MCP 기반 Tool Calling 기능 구현 테스트 (External API 연계 등)
   ㄴ PoC 개발 사항 :  개발 코드 리뷰
* (진행예정) 서비스 적용 방안 검토
</t>
    </r>
  </si>
  <si>
    <t>- Tool Calling : 외부 도구 (함수·API·데이터베이스 ·계산기 등)를 직접 호출해 실행하고 그 결과를 활용하는 기능</t>
  </si>
  <si>
    <r>
      <rPr>
        <b/>
        <sz val="10"/>
        <color rgb="FF000000"/>
        <rFont val="Aptos Narrow"/>
      </rPr>
      <t xml:space="preserve">[기타] 모델 개선을 위한 알고리즘 연구 
</t>
    </r>
    <r>
      <rPr>
        <sz val="10"/>
        <color rgb="FF000000"/>
        <rFont val="Aptos Narrow"/>
      </rPr>
      <t>* (진행중) REACT: SYNERGIZING REASONING AND ACTING IN LANGUAGE MODELS 논문 리서치 및 내부 공유</t>
    </r>
  </si>
  <si>
    <r>
      <rPr>
        <b/>
        <sz val="10"/>
        <color rgb="FF000000"/>
        <rFont val="Aptos Narrow"/>
      </rPr>
      <t xml:space="preserve">[기타] 모델 개선을 위한 알고리즘 연구 
</t>
    </r>
    <r>
      <rPr>
        <sz val="10"/>
        <color rgb="FF000000"/>
        <rFont val="Aptos Narrow"/>
      </rPr>
      <t>* (완료예정) REACT: SYNERGIZING REASONING AND ACTING IN LANGUAGE MODELS 논문 리서치 및 내부 공유</t>
    </r>
  </si>
  <si>
    <t>- ReAct : 추론(reasoning)과 행동(acting) 능력을 하나로 결합하는 방법에 대한 연구 항목임 → 환각 해소와 추론 원인 해석의 효과</t>
  </si>
  <si>
    <t>정원희</t>
  </si>
  <si>
    <r>
      <rPr>
        <b/>
        <sz val="10"/>
        <color rgb="FF000000"/>
        <rFont val="Aptos Narrow"/>
      </rPr>
      <t xml:space="preserve">[방역 어시스턴트] 학습데이터 생성
</t>
    </r>
    <r>
      <rPr>
        <sz val="10"/>
        <color rgb="FF000000"/>
        <rFont val="Aptos Narrow"/>
      </rPr>
      <t xml:space="preserve">* (진행중) 질병관리청 제공 PDF의 텍스트 추출 OCR 모델 개발 
   ㄴ (완료) PdfToText 모듈 확장 : 텍스트 객체 추출 가능성 여부 판별 기능 구현
   ㄴ 이미지 객체 배제, 도표의 일부분 인식, 텍스트 인식
</t>
    </r>
  </si>
  <si>
    <r>
      <rPr>
        <b/>
        <sz val="10"/>
        <color rgb="FF000000"/>
        <rFont val="Aptos Narrow"/>
      </rPr>
      <t xml:space="preserve">[방역 어시스턴트] 학습데이터 생성
</t>
    </r>
    <r>
      <rPr>
        <sz val="10"/>
        <color rgb="FF000000"/>
        <rFont val="Aptos Narrow"/>
      </rPr>
      <t xml:space="preserve">* (진행예정) 질병관리청 제공 PDF의 텍스트 추출 OCR 모델 개발 
   ㄴ 수정 후 구현 기능 문서화 : 사용 라이브러리/PDF 구조 정리
   ㄴ 디코딩 실패한 텍스트 제거 기능 추가
   ㄴ 디코딩 성공률 95% 미만 문서는 VLM으로 파싱하는 스크립트 정의
</t>
    </r>
  </si>
  <si>
    <r>
      <rPr>
        <b/>
        <sz val="10"/>
        <color rgb="FF000000"/>
        <rFont val="Aptos Narrow"/>
        <scheme val="minor"/>
      </rPr>
      <t xml:space="preserve">[제주대학교 임상실증 용역]
</t>
    </r>
    <r>
      <rPr>
        <sz val="10"/>
        <color rgb="FF000000"/>
        <rFont val="Aptos Narrow"/>
        <scheme val="minor"/>
      </rPr>
      <t xml:space="preserve">*1차 업무 협의 컨퍼런스 콜 : 2.13 (금) W오재성 교수
ㄴ 기한 : 26년 7~8월, 예산 : 3000 + 알파
ㄴ P&amp;T : 최소기능 수행견적, 제주대 : 산단 계약 진행 절차 확인
</t>
    </r>
  </si>
  <si>
    <r>
      <rPr>
        <b/>
        <sz val="10"/>
        <color rgb="FF000000"/>
        <rFont val="Aptos Narrow"/>
        <scheme val="minor"/>
      </rPr>
      <t xml:space="preserve">[제주대학교 임상실증 용역]
</t>
    </r>
    <r>
      <rPr>
        <sz val="10"/>
        <color rgb="FF000000"/>
        <rFont val="Aptos Narrow"/>
        <scheme val="minor"/>
      </rPr>
      <t>*사업 수행 계약 준비
ㄴ 사업수행 범위 및 견적 작성 (예정)</t>
    </r>
  </si>
  <si>
    <r>
      <rPr>
        <b/>
        <sz val="10"/>
        <color rgb="FF0070C0"/>
        <rFont val="Aptos Narrow"/>
      </rPr>
      <t xml:space="preserve">진행 논의사항 요약 
</t>
    </r>
    <r>
      <rPr>
        <sz val="10"/>
        <color rgb="FF0070C0"/>
        <rFont val="Aptos Narrow"/>
      </rPr>
      <t xml:space="preserve">ㄴ 1차 핵심적인 기능 개발 위주로 진행
ㄴ 가용예산 : 3000만원 + 알파
ㄴ 구축기한 : 가능한 6월중
</t>
    </r>
  </si>
  <si>
    <r>
      <rPr>
        <b/>
        <sz val="10"/>
        <color rgb="FF000000"/>
        <rFont val="Aptos Narrow"/>
        <scheme val="minor"/>
      </rPr>
      <t xml:space="preserve">[조직운영관리]
</t>
    </r>
    <r>
      <rPr>
        <sz val="10"/>
        <color rgb="FF000000"/>
        <rFont val="Aptos Narrow"/>
        <scheme val="minor"/>
      </rPr>
      <t>*2026년도 팀 목표 및 KPI 수립 방향 협의
ㄴ 팀/개인 KPI 수립 기준 및 평가기준 수립 (완료)
ㄴ 팀 개인별 역량 평가 항목 및 기준 수립(완료)
ㄴ 2026년도 팀 KPI 목표 수립(진행중) : 협의 (2.10 화 13:00 ~ )
*2025년도 인사평가 (진행중) : 대상 김영상차장</t>
    </r>
  </si>
  <si>
    <r>
      <rPr>
        <b/>
        <sz val="10"/>
        <color rgb="FF000000"/>
        <rFont val="Aptos Narrow"/>
        <scheme val="minor"/>
      </rPr>
      <t xml:space="preserve">[조직운영관리]
</t>
    </r>
    <r>
      <rPr>
        <sz val="10"/>
        <color rgb="FF000000"/>
        <rFont val="Aptos Narrow"/>
        <scheme val="minor"/>
      </rPr>
      <t>*2026년도 팀 목표 및 KPI 목표 수립
ㄴ 2026년도 팀 KPI 설정 방식 및 기준 작성 (예정) : 대표님 협의 사항 반영
*2026년도 인원계획 수립 : DX, AX 파트별 충원 계획
*2025년도 인사평가 (예정) : 대상 김영상차장</t>
    </r>
  </si>
  <si>
    <r>
      <rPr>
        <b/>
        <sz val="10"/>
        <color rgb="FF0070C0"/>
        <rFont val="Aptos Narrow"/>
      </rPr>
      <t xml:space="preserve">보고 및 결정 사항
</t>
    </r>
    <r>
      <rPr>
        <sz val="10"/>
        <color rgb="FF0070C0"/>
        <rFont val="Aptos Narrow"/>
      </rPr>
      <t>ㄴ 인원충원 계획 전달 예정 확인 의사결정 요청
ㄴ KPI 설정 방식 및 기준 (2월 내 1차 작성예정)</t>
    </r>
  </si>
  <si>
    <r>
      <rPr>
        <b/>
        <sz val="10"/>
        <color rgb="FF000000"/>
        <rFont val="Aptos Narrow"/>
        <scheme val="minor"/>
      </rPr>
      <t xml:space="preserve">[시스템 실증]
</t>
    </r>
    <r>
      <rPr>
        <sz val="10"/>
        <color rgb="FF000000"/>
        <rFont val="Aptos Narrow"/>
        <scheme val="minor"/>
      </rPr>
      <t>*가상병원 시스템 운영 전환 (2.10 화)
ㄴ 운영전환 및 이슈사항 대용 - 시스템 모니터링</t>
    </r>
  </si>
  <si>
    <r>
      <rPr>
        <b/>
        <sz val="10"/>
        <color rgb="FF000000"/>
        <rFont val="Aptos Narrow"/>
        <scheme val="minor"/>
      </rPr>
      <t xml:space="preserve">[2단계 1차년도 수행목표]
</t>
    </r>
    <r>
      <rPr>
        <sz val="10"/>
        <color rgb="FF000000"/>
        <rFont val="Aptos Narrow"/>
        <scheme val="minor"/>
      </rPr>
      <t>*2단계 1차년도 수행 방안 오프라인 회의  (2.11 화) : 이효영, 정우철 참석예정</t>
    </r>
  </si>
  <si>
    <r>
      <rPr>
        <b/>
        <sz val="10"/>
        <color rgb="FF000000"/>
        <rFont val="Aptos Narrow"/>
        <scheme val="minor"/>
      </rPr>
      <t xml:space="preserve">[2단계 1차년도 수행목표]
</t>
    </r>
    <r>
      <rPr>
        <sz val="10"/>
        <color rgb="FF000000"/>
        <rFont val="Aptos Narrow"/>
        <scheme val="minor"/>
      </rPr>
      <t>*온라인정기회의 : 2.20 금</t>
    </r>
  </si>
  <si>
    <r>
      <rPr>
        <b/>
        <sz val="10"/>
        <color rgb="FF000000"/>
        <rFont val="Aptos Narrow"/>
        <scheme val="minor"/>
      </rPr>
      <t xml:space="preserve">[웨어러블 의료기기 로지스틱 개발]
</t>
    </r>
    <r>
      <rPr>
        <sz val="10"/>
        <color rgb="FF000000"/>
        <rFont val="Aptos Narrow"/>
        <scheme val="minor"/>
      </rPr>
      <t>* 요구사항 분석 항목 및 인터뷰 질의서 리뷰 (W 권현하)</t>
    </r>
  </si>
  <si>
    <r>
      <rPr>
        <b/>
        <sz val="10"/>
        <color rgb="FF000000"/>
        <rFont val="Aptos Narrow"/>
        <scheme val="minor"/>
      </rPr>
      <t xml:space="preserve">[웨어러블 의료기기 환자 할당·해제 연동]
</t>
    </r>
    <r>
      <rPr>
        <sz val="10"/>
        <color rgb="FF000000"/>
        <rFont val="Aptos Narrow"/>
        <scheme val="minor"/>
      </rPr>
      <t>*  논의 일정 수립 요청 :  스카이랩스
ㄴ 2월 24일 과제 수행 관련 협의 예정</t>
    </r>
  </si>
  <si>
    <r>
      <rPr>
        <b/>
        <sz val="10"/>
        <color rgb="FF000000"/>
        <rFont val="Aptos Narrow"/>
        <scheme val="minor"/>
      </rPr>
      <t xml:space="preserve">[웨어러블 의료기기 환자 할당·해제 연동]
</t>
    </r>
    <r>
      <rPr>
        <sz val="10"/>
        <color rgb="FF000000"/>
        <rFont val="Aptos Narrow"/>
        <scheme val="minor"/>
      </rPr>
      <t>* 스카이랩스 장비 연동 수행 방안 논의 (2.24) 예정</t>
    </r>
  </si>
  <si>
    <r>
      <rPr>
        <b/>
        <sz val="10"/>
        <color rgb="FF000000"/>
        <rFont val="Aptos Narrow"/>
      </rPr>
      <t xml:space="preserve">[조직운영관리]
</t>
    </r>
    <r>
      <rPr>
        <sz val="10"/>
        <color rgb="FF000000"/>
        <rFont val="Aptos Narrow"/>
      </rPr>
      <t>*2025년도 인사평가 작성 완료</t>
    </r>
  </si>
  <si>
    <r>
      <rPr>
        <b/>
        <sz val="10"/>
        <color rgb="FF000000"/>
        <rFont val="Aptos Narrow"/>
      </rPr>
      <t xml:space="preserve">[조직운영관리]
</t>
    </r>
    <r>
      <rPr>
        <sz val="10"/>
        <color rgb="FF000000"/>
        <rFont val="Aptos Narrow"/>
      </rPr>
      <t>*02월23일 2층 대회의실 오후 3시 : 개인평가 면담 진행 예정</t>
    </r>
  </si>
  <si>
    <r>
      <rPr>
        <b/>
        <sz val="10"/>
        <color rgb="FF000000"/>
        <rFont val="Aptos Narrow"/>
      </rPr>
      <t xml:space="preserve">[지식재산권]
</t>
    </r>
    <r>
      <rPr>
        <sz val="10"/>
        <color rgb="FF000000"/>
        <rFont val="Aptos Narrow"/>
      </rPr>
      <t>*"병상디스플레이 기능" 특허 관련 "본" 업체 출원 내용 수정 후 전달
*특허 비용 집행 예정일 : 2026년 02월 13일(금)
*"병상디스플레이 기능" 특허 일반 출원 진행 (약 4주 소요 예상)</t>
    </r>
  </si>
  <si>
    <r>
      <rPr>
        <b/>
        <sz val="10"/>
        <color rgb="FF000000"/>
        <rFont val="Aptos Narrow"/>
      </rPr>
      <t xml:space="preserve">[실증 준비]
</t>
    </r>
    <r>
      <rPr>
        <sz val="10"/>
        <color rgb="FF000000"/>
        <rFont val="Aptos Narrow"/>
      </rPr>
      <t>* 신광 방문 : 서버 재기동 및 설정 지원 &gt; 환자 연동 확인
* Semi-Rpa 원격 불가 및 서버재기동시 간헐적으로 해당 서비스 미실행 상태 확인</t>
    </r>
  </si>
  <si>
    <r>
      <rPr>
        <b/>
        <sz val="10"/>
        <color rgb="FF000000"/>
        <rFont val="Aptos Narrow"/>
      </rPr>
      <t xml:space="preserve">[실증 준비]
</t>
    </r>
    <r>
      <rPr>
        <sz val="10"/>
        <color rgb="FF000000"/>
        <rFont val="Aptos Narrow"/>
      </rPr>
      <t xml:space="preserve">* 02월 24일(화) 신광 방문 후 상용 서버 설정 및 연동 Test 지원 예정
</t>
    </r>
  </si>
  <si>
    <r>
      <rPr>
        <b/>
        <sz val="10"/>
        <color rgb="FF000000"/>
        <rFont val="Aptos Narrow"/>
      </rPr>
      <t xml:space="preserve">[연구개발수행]
</t>
    </r>
    <r>
      <rPr>
        <sz val="10"/>
        <color rgb="FF000000"/>
        <rFont val="Aptos Narrow"/>
      </rPr>
      <t>* 전광판 상용 연동 일정 협의 : 설날 이후 진행 예정
* 네트워크 고도화 진행 여부 고려대병원 교수님께 검토 요청
* 외부디스플레이 화면 기획 검토 : 02월 27일(금) 디자인 완료 예정
* 2026년 수행 목표 수립
* 하이젠 환자 연동 관련 문의 사항 회의 진행 (김영상 차장, 이정택 주임)</t>
    </r>
  </si>
  <si>
    <r>
      <rPr>
        <b/>
        <sz val="10"/>
        <color rgb="FF000000"/>
        <rFont val="Aptos Narrow"/>
      </rPr>
      <t xml:space="preserve">[연구개발수행]
</t>
    </r>
    <r>
      <rPr>
        <sz val="10"/>
        <color rgb="FF000000"/>
        <rFont val="Aptos Narrow"/>
      </rPr>
      <t>* 02월 26일(목) 전광판 상용 연동 Test 원격 지원 예정
* 하이젠 위치/환자 연동 추가 개발 기능 사내 Test 진행 예정
* 외부 디스플레이 디자인 화면 검토 예정
* 2026년 수행 목표 수립</t>
    </r>
  </si>
  <si>
    <r>
      <rPr>
        <b/>
        <sz val="10"/>
        <color rgb="FF000000"/>
        <rFont val="Aptos Narrow"/>
      </rPr>
      <t xml:space="preserve">[AI MRI 회의]
</t>
    </r>
    <r>
      <rPr>
        <sz val="10"/>
        <color rgb="FF000000"/>
        <rFont val="Aptos Narrow"/>
      </rPr>
      <t>*개선안 회의 : 문선홍 이사, 김영상 차장, 하태훈 선임, 강한별 대리, 전영민 사원
*개발 완료 예정일 : 3월 중순~말</t>
    </r>
  </si>
  <si>
    <r>
      <rPr>
        <b/>
        <sz val="10"/>
        <color rgb="FF000000"/>
        <rFont val="Aptos Narrow"/>
      </rPr>
      <t xml:space="preserve">[연구개발수행]
</t>
    </r>
    <r>
      <rPr>
        <sz val="10"/>
        <color rgb="FF000000"/>
        <rFont val="Aptos Narrow"/>
      </rPr>
      <t xml:space="preserve">* 2026년 수행 목표 수립
</t>
    </r>
    <r>
      <rPr>
        <b/>
        <sz val="10"/>
        <color rgb="FF000000"/>
        <rFont val="Aptos Narrow"/>
      </rPr>
      <t xml:space="preserve">[일산병원]
</t>
    </r>
    <r>
      <rPr>
        <sz val="10"/>
        <color rgb="FF000000"/>
        <rFont val="Aptos Narrow"/>
      </rPr>
      <t>* 자산고도화 2차 개발 사항 사내 Test 진행</t>
    </r>
  </si>
  <si>
    <r>
      <rPr>
        <b/>
        <sz val="10"/>
        <color rgb="FF000000"/>
        <rFont val="Aptos Narrow"/>
      </rPr>
      <t xml:space="preserve">[연구개발수행]
</t>
    </r>
    <r>
      <rPr>
        <sz val="10"/>
        <color rgb="FF000000"/>
        <rFont val="Aptos Narrow"/>
      </rPr>
      <t xml:space="preserve">* 2026년 수행 목표 수립
</t>
    </r>
    <r>
      <rPr>
        <b/>
        <sz val="10"/>
        <color rgb="FF000000"/>
        <rFont val="Aptos Narrow"/>
      </rPr>
      <t xml:space="preserve">[일산병원]
</t>
    </r>
    <r>
      <rPr>
        <sz val="10"/>
        <color rgb="FF000000"/>
        <rFont val="Aptos Narrow"/>
      </rPr>
      <t>* 02/26일(목) 자산고도화 2차 배포 예정</t>
    </r>
  </si>
  <si>
    <t>공통2500</t>
  </si>
  <si>
    <r>
      <t>[개발팀지원]</t>
    </r>
    <r>
      <rPr>
        <sz val="10"/>
        <color theme="1"/>
        <rFont val="Arial"/>
        <charset val="1"/>
      </rPr>
      <t xml:space="preserve">
* IoT장비 데이터 구조 파악을 위한 WMS, SH 시스템 가이드(2/11)
ㄴ 자산 및 환자정보, 자산-환자 맵핑구조, 속성정보 등</t>
    </r>
  </si>
  <si>
    <r>
      <t>[개발팀지원]</t>
    </r>
    <r>
      <rPr>
        <sz val="10"/>
        <color theme="1"/>
        <rFont val="Arial"/>
        <charset val="1"/>
      </rPr>
      <t xml:space="preserve">
* WMS, SH 시스템 파악</t>
    </r>
  </si>
  <si>
    <r>
      <rPr>
        <b/>
        <sz val="10"/>
        <color rgb="FF000000"/>
        <rFont val="Arial"/>
      </rPr>
      <t xml:space="preserve">[연구개발] - 웨어러블 로지스틱 관리
</t>
    </r>
    <r>
      <rPr>
        <sz val="10"/>
        <color rgb="FF000000"/>
        <rFont val="Arial"/>
      </rPr>
      <t>* 일산병원 요청사항 분석서(질의서) 작성 및 일산병원 전달
ㄴ 협의 일정 확정(2/24)</t>
    </r>
  </si>
  <si>
    <r>
      <rPr>
        <b/>
        <sz val="10"/>
        <color rgb="FF000000"/>
        <rFont val="Arial"/>
      </rPr>
      <t xml:space="preserve">[연구개발] - 웨어러블 로지스틱 관리
</t>
    </r>
    <r>
      <rPr>
        <sz val="10"/>
        <color rgb="FF000000"/>
        <rFont val="Arial"/>
      </rPr>
      <t>* 요구사항 인터뷰 분석서(질의서) 기반 일산병원 협의 진행
* 요구사항 및 분석 항목 구체화</t>
    </r>
  </si>
  <si>
    <r>
      <t>[정량정 성능 지표]</t>
    </r>
    <r>
      <rPr>
        <sz val="10"/>
        <color theme="1"/>
        <rFont val="Arial"/>
        <charset val="1"/>
      </rPr>
      <t xml:space="preserve">
* IRIS SW 저작권 성과 등록 완료 및 주관기관 내용 전달</t>
    </r>
  </si>
  <si>
    <r>
      <t>[정량정 성능 지표]</t>
    </r>
    <r>
      <rPr>
        <sz val="10"/>
        <color theme="1"/>
        <rFont val="Arial"/>
        <charset val="1"/>
      </rPr>
      <t xml:space="preserve">
* 성과물 발생시 성과 등록 예정</t>
    </r>
  </si>
  <si>
    <r>
      <rPr>
        <b/>
        <sz val="10"/>
        <color rgb="FF000000"/>
        <rFont val="Arial"/>
      </rPr>
      <t xml:space="preserve">[과제행정]
</t>
    </r>
    <r>
      <rPr>
        <sz val="10"/>
        <color rgb="FF000000"/>
        <rFont val="Arial"/>
      </rPr>
      <t>* RCMS 민간부담금 납부기한 변경 진행(주관기관 검토중)</t>
    </r>
  </si>
  <si>
    <r>
      <t>[과제행정]</t>
    </r>
    <r>
      <rPr>
        <sz val="10"/>
        <color theme="1"/>
        <rFont val="Arial"/>
        <charset val="1"/>
      </rPr>
      <t xml:space="preserve">
* RCMS 민간부담금 납부기한 변경 완료</t>
    </r>
  </si>
  <si>
    <r>
      <rPr>
        <b/>
        <sz val="10"/>
        <color rgb="FF000000"/>
        <rFont val="Arial"/>
      </rPr>
      <t xml:space="preserve">[연구비정산]
</t>
    </r>
    <r>
      <rPr>
        <sz val="10"/>
        <color rgb="FF000000"/>
        <rFont val="Arial"/>
      </rPr>
      <t>* RCMS 정산 업무 수행 (경영지원실로부터 Back-up 지원)
ㄴ 연구비사용시작을 위한 과제협약정보, 연구개발비 등 체크리스트 점검
ㄴ 연구개발비사용시작 처리 완료</t>
    </r>
  </si>
  <si>
    <r>
      <t>[연구비정산]</t>
    </r>
    <r>
      <rPr>
        <sz val="10"/>
        <color theme="1"/>
        <rFont val="Arial"/>
        <charset val="1"/>
      </rPr>
      <t xml:space="preserve">
* RCMS 정산 이슈 대응</t>
    </r>
  </si>
  <si>
    <t>스케일업팁스(단순중증)</t>
  </si>
  <si>
    <t>과제0027</t>
  </si>
  <si>
    <r>
      <rPr>
        <b/>
        <sz val="10"/>
        <color rgb="FF000000"/>
        <rFont val="Arial"/>
      </rPr>
      <t xml:space="preserve">[과제행정]
</t>
    </r>
    <r>
      <rPr>
        <sz val="10"/>
        <color rgb="FF000000"/>
        <rFont val="Arial"/>
      </rPr>
      <t>* 지급보증보험 서류 전담기관 제출 완료</t>
    </r>
  </si>
  <si>
    <r>
      <rPr>
        <b/>
        <sz val="10"/>
        <color rgb="FF000000"/>
        <rFont val="Arial"/>
      </rPr>
      <t xml:space="preserve">[과제행정]
</t>
    </r>
    <r>
      <rPr>
        <sz val="10"/>
        <color rgb="FF000000"/>
        <rFont val="Arial"/>
      </rPr>
      <t>* 이행(지급)보증보험 발행</t>
    </r>
  </si>
  <si>
    <r>
      <rPr>
        <b/>
        <sz val="10"/>
        <color rgb="FF000000"/>
        <rFont val="Arial"/>
      </rPr>
      <t xml:space="preserve">[협약서류준비 및 제출]
</t>
    </r>
    <r>
      <rPr>
        <sz val="10"/>
        <color rgb="FF000000"/>
        <rFont val="Arial"/>
      </rPr>
      <t>* 차년도 협약체결 준비를 위한 제출서류 검토 및 배포
* 협약서류제출 공문 작성(경영지원실로부터 Back-up 지원)
* 제출서류 작성 및 인감 날인 완료
* 공동기관 협약서류 검토 및 보완 요청 완료
* 협약체결을 위한 NIPA 시스템 입력 및 서류 제출 완료 (NIPA 김윤하책임 문의)</t>
    </r>
  </si>
  <si>
    <r>
      <rPr>
        <b/>
        <sz val="10"/>
        <color rgb="FF000000"/>
        <rFont val="Arial"/>
      </rPr>
      <t xml:space="preserve">[협약서류준비]
</t>
    </r>
    <r>
      <rPr>
        <sz val="10"/>
        <color rgb="FF000000"/>
        <rFont val="Arial"/>
      </rPr>
      <t>- NIPA 협약 제출 관련 이슈 대응</t>
    </r>
  </si>
  <si>
    <r>
      <rPr>
        <b/>
        <sz val="10"/>
        <color rgb="FF000000"/>
        <rFont val="Aptos Narrow"/>
      </rPr>
      <t xml:space="preserve">[2025년도 평가 및 2026년 KPI 수립]
</t>
    </r>
    <r>
      <rPr>
        <sz val="10"/>
        <color rgb="FF000000"/>
        <rFont val="Aptos Narrow"/>
      </rPr>
      <t>* (진행중) 2025년도 평가 : 자기 평가 자료 리뷰  및 면담, 1차평가 (송하은, 최혜주)
* (완료) 2026년도 KPI 리뷰</t>
    </r>
  </si>
  <si>
    <r>
      <rPr>
        <b/>
        <sz val="10"/>
        <color rgb="FF000000"/>
        <rFont val="Aptos Narrow"/>
      </rPr>
      <t xml:space="preserve">[2025년도 평가 및 2026년 KPI 수립]
</t>
    </r>
    <r>
      <rPr>
        <sz val="10"/>
        <color rgb="FF000000"/>
        <rFont val="Aptos Narrow"/>
      </rPr>
      <t>* (완료예정) 2025년도 평가 : 1차 평가 (송하은, 최혜주)
* (진행예정) 2026년도 AX 파트 KPI 수립</t>
    </r>
  </si>
  <si>
    <r>
      <rPr>
        <b/>
        <sz val="10"/>
        <color rgb="FF000000"/>
        <rFont val="Aptos Narrow"/>
      </rPr>
      <t xml:space="preserve">[2026년 개발 계획 수립]
</t>
    </r>
    <r>
      <rPr>
        <sz val="10"/>
        <color rgb="FF000000"/>
        <rFont val="Aptos Narrow"/>
      </rPr>
      <t>* (진행중) 질병 관리청 AX / 일산병원 스케일업팁스 개발 계획 수립 
   ㄴ AX 파트의 개발 계획 
   ㄴ 필요 자원 (장비/인력) 수급 계획 및 일정 
   ㄴ 식약처 인증 계획 및 방안</t>
    </r>
  </si>
  <si>
    <r>
      <rPr>
        <b/>
        <sz val="10"/>
        <color rgb="FF000000"/>
        <rFont val="Aptos Narrow"/>
      </rPr>
      <t xml:space="preserve">[2026년 개발 계획 수립]
</t>
    </r>
    <r>
      <rPr>
        <sz val="10"/>
        <color rgb="FF000000"/>
        <rFont val="Aptos Narrow"/>
      </rPr>
      <t>* (완료예정) 질병 관리청 AX / 일산병원 스케일업팁스 개발 계획 수립 
   ㄴ AX 파트의 개발 계획 
   ㄴ 필요 자원 (장비/인력) 수급 계획 및 일정 
   ㄴ 식약처 인증 계획 및 방안</t>
    </r>
  </si>
  <si>
    <r>
      <rPr>
        <b/>
        <sz val="10"/>
        <color rgb="FF000000"/>
        <rFont val="Aptos Narrow"/>
      </rPr>
      <t xml:space="preserve">[과제관리]
</t>
    </r>
    <r>
      <rPr>
        <sz val="10"/>
        <color rgb="FF000000"/>
        <rFont val="Aptos Narrow"/>
      </rPr>
      <t>* (완료) 2차년도 과제 진행 계획 수립 
* (완료) 과제 진행 계획 협의 : 일산병원과 협의 (2026-02-12)</t>
    </r>
  </si>
  <si>
    <t>해당 없음</t>
  </si>
  <si>
    <r>
      <rPr>
        <b/>
        <sz val="10"/>
        <color rgb="FF000000"/>
        <rFont val="Aptos Narrow"/>
      </rPr>
      <t xml:space="preserve">[의료 AI 서비스 기획]
</t>
    </r>
    <r>
      <rPr>
        <sz val="10"/>
        <color rgb="FF000000"/>
        <rFont val="Aptos Narrow"/>
      </rPr>
      <t>* (진행중) 서비스 컨셉 기획 : 주요기능 및 서비스 항목 정의
* (진행중) 요구사항 정의 : 서비스 요구 사항 초안 도출</t>
    </r>
  </si>
  <si>
    <r>
      <rPr>
        <b/>
        <sz val="10"/>
        <color rgb="FF000000"/>
        <rFont val="Aptos Narrow"/>
      </rPr>
      <t xml:space="preserve">[의료 AI 서비스 기획]
</t>
    </r>
    <r>
      <rPr>
        <sz val="10"/>
        <color rgb="FF000000"/>
        <rFont val="Aptos Narrow"/>
      </rPr>
      <t xml:space="preserve">* (진행예정) 서비스 컨셉 기획 : 주요기능 및 서비스 항목 정의 
* (진행예정) 요구사항 정의 : 서비스 요구 사항 초안 도출 </t>
    </r>
  </si>
  <si>
    <r>
      <rPr>
        <b/>
        <sz val="10"/>
        <color rgb="FF000000"/>
        <rFont val="Aptos Narrow"/>
      </rPr>
      <t xml:space="preserve">[과제관리]
</t>
    </r>
    <r>
      <rPr>
        <sz val="10"/>
        <color rgb="FF000000"/>
        <rFont val="Aptos Narrow"/>
      </rPr>
      <t xml:space="preserve">* (진행중) 방역 어시스턴트 개발 계획 수립 (WBS, 2026년도)
</t>
    </r>
  </si>
  <si>
    <r>
      <rPr>
        <b/>
        <sz val="10"/>
        <color rgb="FF000000"/>
        <rFont val="Aptos Narrow"/>
      </rPr>
      <t xml:space="preserve">[과제관리]
</t>
    </r>
    <r>
      <rPr>
        <sz val="10"/>
        <color rgb="FF000000"/>
        <rFont val="Aptos Narrow"/>
      </rPr>
      <t xml:space="preserve">* (진행예정) 방역 어시스턴트 개발 계획 수립 (WBS, 2026년도)
</t>
    </r>
  </si>
  <si>
    <r>
      <rPr>
        <b/>
        <sz val="10"/>
        <color rgb="FF000000"/>
        <rFont val="Aptos Narrow"/>
      </rPr>
      <t xml:space="preserve">[방역 어시스턴트] - 시연 준비
</t>
    </r>
    <r>
      <rPr>
        <sz val="10"/>
        <color rgb="FF000000"/>
        <rFont val="Aptos Narrow"/>
      </rPr>
      <t>* (지속) 질병관리청 : 담당연구관의 테스트 → 결과에 대한 오류 및 기능 수정 
* (완료) 테스트 결과 피드백 대응 : 잔여 1건 (완료), 신규 2건 (완료) 
   ㄴ 잔여 (1건) : 쿼리에 대한 답변 변동/누락 (오류 수정)
   ㄴ 신규 (2건) : 참고문헌 번호 중복 제거 (기능 개선) ,  
                                 참고문헌 번호 재정렬 (기능개선)</t>
    </r>
  </si>
  <si>
    <r>
      <rPr>
        <b/>
        <sz val="10"/>
        <color rgb="FF000000"/>
        <rFont val="Aptos Narrow"/>
      </rPr>
      <t xml:space="preserve">[방역 어시스턴트] - 문서셋 추가 자동화 
</t>
    </r>
    <r>
      <rPr>
        <sz val="10"/>
        <color rgb="FF000000"/>
        <rFont val="Aptos Narrow"/>
      </rPr>
      <t>* (완료) 외부 문서 추가 요청에 대한 방안 수립 (질병관리청 요청)
   ㄴ 대상 사이트 : 공공포털, 질병청 사이트, 법령정보센터 
   ㄴ 연동 방식 : 크롤링, API 연동
* (완료) 외부 문서 추가 방식에 대한 테스트  : 테스트 결과 보고서 작성</t>
    </r>
  </si>
  <si>
    <r>
      <rPr>
        <b/>
        <sz val="10"/>
        <color rgb="FF000000"/>
        <rFont val="Aptos Narrow"/>
      </rPr>
      <t xml:space="preserve">[역학조사] - 역학조사내 AI 기능 개발 
</t>
    </r>
    <r>
      <rPr>
        <sz val="10"/>
        <color rgb="FF000000"/>
        <rFont val="Aptos Narrow"/>
      </rPr>
      <t>* (완료) 역학조사의 요구사항 분석 건 리뷰 
   ㄴ 질병 관리청과 협의 : 2026-02-12
   ㄴ 요구사항 대응 회의 (PnT 내부) : 2026-02-13
* (진행중) 전염병 접촉 N 네트워크 플로팅 방법 조사</t>
    </r>
  </si>
  <si>
    <r>
      <rPr>
        <b/>
        <sz val="10"/>
        <color rgb="FF000000"/>
        <rFont val="Aptos Narrow"/>
      </rPr>
      <t xml:space="preserve">[역학조사] - 역학조사내 AI 기능 개발 
</t>
    </r>
    <r>
      <rPr>
        <sz val="10"/>
        <color rgb="FF000000"/>
        <rFont val="Aptos Narrow"/>
      </rPr>
      <t>* (지속) 세종지사의 요구 사항 정의 및 분석 진행에 대한 지원
* (진행예정) 전염병 접촉 N 네트워크 플로팅 방법 조사</t>
    </r>
  </si>
  <si>
    <r>
      <rPr>
        <b/>
        <sz val="10"/>
        <color rgb="FF000000"/>
        <rFont val="Aptos Narrow"/>
      </rPr>
      <t xml:space="preserve">[기타] - 과제 진행 협의 / 인프라 
</t>
    </r>
    <r>
      <rPr>
        <sz val="10"/>
        <color rgb="FF000000"/>
        <rFont val="Aptos Narrow"/>
      </rPr>
      <t>* (완료) 비대면  주간 회의 : 2026-02-12
* (완료) 보안성 검토 자료 작성 
* (진행중) GPU 서버의 인프라 구성에 대한 방안 조사 : 클러스터/쿠버네티스 
    (ReplicaSet, Deployment, Service)
* (진행중) 2026년도 개발 계획 수립 (WBS)</t>
    </r>
  </si>
  <si>
    <r>
      <rPr>
        <b/>
        <sz val="10"/>
        <color rgb="FF000000"/>
        <rFont val="Aptos Narrow"/>
      </rPr>
      <t xml:space="preserve">[기타] - 과제 진행 협의 / 인프라 
</t>
    </r>
    <r>
      <rPr>
        <sz val="10"/>
        <color rgb="FF000000"/>
        <rFont val="Aptos Narrow"/>
      </rPr>
      <t>* (진행예정) GPU 서버의 인프라 구성에 대한 방안 조사 : 클러스터/쿠버네티스 
    (Service 등)
* (진행예정) 2026년도 개발 계획 수립 (WBS)</t>
    </r>
  </si>
  <si>
    <r>
      <rPr>
        <b/>
        <sz val="10"/>
        <color rgb="FF000000"/>
        <rFont val="Aptos Narrow"/>
      </rPr>
      <t xml:space="preserve">[기타] - 과제 산출물 대응 (특허) 
</t>
    </r>
    <r>
      <rPr>
        <sz val="10"/>
        <color rgb="FF000000"/>
        <rFont val="Aptos Narrow"/>
      </rPr>
      <t xml:space="preserve">* (완료) 특허 문서 작성 : "이종 의료기기 사이의 측정값 분석 도구 개발" 
</t>
    </r>
  </si>
  <si>
    <r>
      <rPr>
        <b/>
        <sz val="10"/>
        <color rgb="FF000000"/>
        <rFont val="Aptos Narrow"/>
      </rPr>
      <t xml:space="preserve">[방역 어시스턴트] 질의 분류기 (소관 업무 분류) 
</t>
    </r>
    <r>
      <rPr>
        <sz val="10"/>
        <color rgb="FF000000"/>
        <rFont val="Aptos Narrow"/>
      </rPr>
      <t>* (완료) 학습 모델 개선 및 학습 결과 정리 
* (완료) 학습 모델 개선 추가 요소 적용 개발 (프레임워크:VICReg/손실함수:SimCSE) 
* (완료) 학습 모델의 학습 결과 확인/리뷰 및 파라미터 튜닝 
* (진행중) 파라미터 튜닝의 학습 모델 학습 (학습 진행중)</t>
    </r>
  </si>
  <si>
    <r>
      <rPr>
        <b/>
        <sz val="10"/>
        <color rgb="FF000000"/>
        <rFont val="Aptos Narrow"/>
      </rPr>
      <t xml:space="preserve">[방역 어시스턴트] 질의 분류기 (소관 업무 분류) 
</t>
    </r>
    <r>
      <rPr>
        <sz val="10"/>
        <color rgb="FF000000"/>
        <rFont val="Aptos Narrow"/>
      </rPr>
      <t>* (완료예정) 파라미터 튜닝의 학습 모델 학습 (학습완료 예정)
* (완료예정) 파라미터 튜닝의 학습 모델 학습 결과 분석 
* (진행예정) 학습 결과에 따른 파라미터 튜닝 및 재학습</t>
    </r>
  </si>
  <si>
    <r>
      <rPr>
        <b/>
        <sz val="10"/>
        <color rgb="FF000000"/>
        <rFont val="Aptos Narrow"/>
      </rPr>
      <t xml:space="preserve">[방역 어시스턴트] 타 파운데이션 모델 연구
</t>
    </r>
    <r>
      <rPr>
        <sz val="10"/>
        <color rgb="FF000000"/>
        <rFont val="Aptos Narrow"/>
      </rPr>
      <t>* (진행중) microGPT의 구조 연구 및 소스 분석</t>
    </r>
  </si>
  <si>
    <r>
      <rPr>
        <b/>
        <sz val="10"/>
        <color rgb="FF000000"/>
        <rFont val="Aptos Narrow"/>
      </rPr>
      <t xml:space="preserve">[방역 어시스턴트] RAG 용 임베딩 모델 개발 (질병도메인 특화) 
</t>
    </r>
    <r>
      <rPr>
        <sz val="10"/>
        <color rgb="FF000000"/>
        <rFont val="Aptos Narrow"/>
      </rPr>
      <t xml:space="preserve">* (완료) 질병도메인 특화 단어 확장모델 중간 평가(QLoRA 기반 CPT)
   ㄴ 기 모델(분할 데이터 학습) 대비 성능 향상 (Top-1 정확도, 0.2972 → 0.3134)
* (진행중) 질병 도메인 데이터셋 미세조정 학습 (학습중)
* (진행중) 미세조정된 학습 모델 평가  </t>
    </r>
  </si>
  <si>
    <r>
      <rPr>
        <b/>
        <sz val="10"/>
        <color rgb="FF000000"/>
        <rFont val="Aptos Narrow"/>
      </rPr>
      <t xml:space="preserve">[방역 어시스턴트] RAG 용 임베딩 모델 개발 (질병도메인 특화) 
</t>
    </r>
    <r>
      <rPr>
        <sz val="10"/>
        <color rgb="FF000000"/>
        <rFont val="Aptos Narrow"/>
      </rPr>
      <t xml:space="preserve">* (진행예정) 질병 도메인 데이터셋 미세조정 학습 (학습중) 
* (진행예정) 미세조정된 학습 모델 평가 
</t>
    </r>
  </si>
  <si>
    <r>
      <rPr>
        <b/>
        <sz val="10"/>
        <color rgb="FF000000"/>
        <rFont val="Aptos Narrow"/>
      </rPr>
      <t xml:space="preserve">[방역 어시스턴트] Agent 개발 연구 (실시간 데이터 연동 기반) 
</t>
    </r>
    <r>
      <rPr>
        <sz val="10"/>
        <color rgb="FF000000"/>
        <rFont val="Aptos Narrow"/>
      </rPr>
      <t>* (진행중) LLM의 "Tool Calling" 활용 업무보조 도구 개발 (PoC)
    - 챗봇 앱 MCP (Model Context Protocol) 기반 
    - MCP 기반 Tool Calling 기능 구현 테스트 (응급처치방법, 병원검색 등)</t>
    </r>
  </si>
  <si>
    <r>
      <rPr>
        <b/>
        <sz val="10"/>
        <color rgb="FF000000"/>
        <rFont val="Aptos Narrow"/>
      </rPr>
      <t xml:space="preserve">[방역 어시스턴트] Agent 개발 연구 (실시간 데이터 연동 기반) 
</t>
    </r>
    <r>
      <rPr>
        <sz val="10"/>
        <color rgb="FF000000"/>
        <rFont val="Aptos Narrow"/>
      </rPr>
      <t xml:space="preserve">* (진행예정) LLM의 "Tool Calling" 활용 업무보조 도구 개발 (PoC)
    - MCP 기반 Tool Calling 기능 구현 테스트 (External API 연계 등)
</t>
    </r>
  </si>
  <si>
    <r>
      <rPr>
        <b/>
        <sz val="10"/>
        <color rgb="FF000000"/>
        <rFont val="Aptos Narrow"/>
      </rPr>
      <t xml:space="preserve">[기타] 모델 개선을 위한 알고리즘 연구 
</t>
    </r>
    <r>
      <rPr>
        <sz val="10"/>
        <color rgb="FF000000"/>
        <rFont val="Aptos Narrow"/>
      </rPr>
      <t>* (진행중) REACT: SYNERGIZING REASONING AND ACTING IN LANGUAGE MODELS 논문 리서치</t>
    </r>
  </si>
  <si>
    <r>
      <rPr>
        <b/>
        <sz val="10"/>
        <color rgb="FF000000"/>
        <rFont val="Aptos Narrow"/>
      </rPr>
      <t xml:space="preserve">[방역 어시스턴트] 학습데이터 생성
</t>
    </r>
    <r>
      <rPr>
        <sz val="10"/>
        <color rgb="FF000000"/>
        <rFont val="Aptos Narrow"/>
      </rPr>
      <t xml:space="preserve">* (완료) 질병관리청 제공 PDF OCR 판별 기능 구현
* (진행중) 질병관리청 제공 PDF OCR 판별 기능 보완 및 수정 </t>
    </r>
  </si>
  <si>
    <r>
      <rPr>
        <b/>
        <sz val="10"/>
        <color rgb="FF000000"/>
        <rFont val="Aptos Narrow"/>
      </rPr>
      <t xml:space="preserve">[방역 어시스턴트] 학습데이터 생성
</t>
    </r>
    <r>
      <rPr>
        <sz val="10"/>
        <color rgb="FF000000"/>
        <rFont val="Aptos Narrow"/>
      </rPr>
      <t xml:space="preserve">* (완료예정) 질병관리청 제공 PDF OCR 판별 기능 보완 및 수정 
* (진행예정) OCR 가능 PDF 분류 및 텍스트 추출
</t>
    </r>
  </si>
  <si>
    <r>
      <rPr>
        <b/>
        <sz val="10"/>
        <color rgb="FF000000"/>
        <rFont val="Aptos Narrow"/>
        <scheme val="minor"/>
      </rPr>
      <t xml:space="preserve">[과제 수주 및 관리]
</t>
    </r>
    <r>
      <rPr>
        <sz val="10"/>
        <color rgb="FF000000"/>
        <rFont val="Aptos Narrow"/>
        <scheme val="minor"/>
      </rPr>
      <t>*정량적, 정성적 목표 세부사항 정리
ㄴ 과제 통합 관리 템플릿 작성 및 세부사항 정리 (진행중)
*과제별 수행 실무책임자 선정 및 수행 계획 및 목표 수립
ㄴ 팀 KPI 수립 시 작성 통합하여 작성 (항목 제외)
*과제별 계속비 편성 및 기관부담금입금관련 점검
ㄴ 유연의료 3세부 부담금 입금 오류사항 조치중</t>
    </r>
  </si>
  <si>
    <r>
      <rPr>
        <b/>
        <sz val="10"/>
        <color rgb="FF000000"/>
        <rFont val="Aptos Narrow"/>
        <scheme val="minor"/>
      </rPr>
      <t xml:space="preserve">[과제 수주 및 관리]
</t>
    </r>
    <r>
      <rPr>
        <sz val="10"/>
        <color rgb="FF000000"/>
        <rFont val="Aptos Narrow"/>
        <scheme val="minor"/>
      </rPr>
      <t xml:space="preserve">*정량적, 정성적 목표 세부사항 정리
ㄴ 과제 통합 관리 템플릿 작성 및 세부사항 정리 (계속)
*과제별 계속비 편성 및 기관부담금입금관련 점검
ㄴ 유연의료 3세부 부담금 입금 오류사항 조치중 </t>
    </r>
  </si>
  <si>
    <r>
      <rPr>
        <b/>
        <sz val="10"/>
        <color rgb="FFC00000"/>
        <rFont val="Aptos Narrow"/>
        <scheme val="minor"/>
      </rPr>
      <t xml:space="preserve">* 유연의료 3세부 부담금관련 납부기한 이슈
</t>
    </r>
    <r>
      <rPr>
        <sz val="10"/>
        <color rgb="FFC00000"/>
        <rFont val="Aptos Narrow"/>
        <scheme val="minor"/>
      </rPr>
      <t>ㄴ 협약내용 입금기한이 RCMS에 반영되지 않음
ㄴ 주관기관 통하여 조치방안 확인 중</t>
    </r>
  </si>
  <si>
    <r>
      <rPr>
        <b/>
        <sz val="10"/>
        <color rgb="FF000000"/>
        <rFont val="Aptos Narrow"/>
        <scheme val="minor"/>
      </rPr>
      <t xml:space="preserve">[조직운영관리]
</t>
    </r>
    <r>
      <rPr>
        <sz val="10"/>
        <color rgb="FF000000"/>
        <rFont val="Aptos Narrow"/>
        <scheme val="minor"/>
      </rPr>
      <t xml:space="preserve">*2026년도 팀 목표 및 KPI 수립
ㄴ 팀/개인 KPI 수립 기준 및 평가기준 수립 (진행중)
ㄴ 팀 개인별 역량 평가 항목 및 기준 수립(진행중)
ㄴ 2026년도 팀 KPI 목표 수립(진행중)
</t>
    </r>
    <r>
      <rPr>
        <sz val="10"/>
        <color rgb="FF0070C0"/>
        <rFont val="Aptos Narrow"/>
        <scheme val="minor"/>
      </rPr>
      <t>*질병관리청 공공 AX - 실무책임자 교체
ㄴ (변경) 이성전 이사</t>
    </r>
  </si>
  <si>
    <r>
      <rPr>
        <b/>
        <sz val="10"/>
        <color rgb="FF000000"/>
        <rFont val="Aptos Narrow"/>
        <scheme val="minor"/>
      </rPr>
      <t xml:space="preserve">[조직운영관리]
</t>
    </r>
    <r>
      <rPr>
        <sz val="10"/>
        <color rgb="FF000000"/>
        <rFont val="Aptos Narrow"/>
        <scheme val="minor"/>
      </rPr>
      <t xml:space="preserve">*2026년도 팀 목표 및 KPI 목표 수립
ㄴ 팀/개인 KPI 수립 기준 및 평가기준 수립 (진행중)
ㄴ 팀 개인별 역량 평가 항목 및 기준 수립(진행중)
ㄴ 2026년도 팀 KPI 목표 수립(진행중) : 협의 (2.10 화 13:00 ~ )
*2025년도 인사평가
ㄴ 대상자 면담 및 평가기준 논의 </t>
    </r>
  </si>
  <si>
    <r>
      <rPr>
        <b/>
        <sz val="10"/>
        <color rgb="FF0070C0"/>
        <rFont val="Aptos Narrow"/>
      </rPr>
      <t xml:space="preserve">*질병관리청 공공AX 실무책임자 변경 
</t>
    </r>
    <r>
      <rPr>
        <sz val="10"/>
        <color rgb="FF0070C0"/>
        <rFont val="Aptos Narrow"/>
      </rPr>
      <t xml:space="preserve">ㄴ 이성전 이사로 변경함
</t>
    </r>
    <r>
      <rPr>
        <b/>
        <sz val="10"/>
        <color rgb="FF0070C0"/>
        <rFont val="Aptos Narrow"/>
      </rPr>
      <t xml:space="preserve">*한양대 치매코호트 과제 용역 진행방안
</t>
    </r>
    <r>
      <rPr>
        <sz val="10"/>
        <color rgb="FF0070C0"/>
        <rFont val="Aptos Narrow"/>
      </rPr>
      <t>ㄴ 수행방안 결정 및 KPI 목표 논의 시 방향 결정(예정)</t>
    </r>
  </si>
  <si>
    <r>
      <rPr>
        <b/>
        <sz val="10"/>
        <color rgb="FF000000"/>
        <rFont val="Aptos Narrow"/>
        <scheme val="minor"/>
      </rPr>
      <t xml:space="preserve">[지식재산권]
</t>
    </r>
    <r>
      <rPr>
        <sz val="10"/>
        <color rgb="FF000000"/>
        <rFont val="Aptos Narrow"/>
        <scheme val="minor"/>
      </rPr>
      <t>*병상정보디스플레이 활용 IoT 장치데이터 수집
ㄴ 발명신고서 기안 및 승인 (완료)
ㄴ 자금집행 및 출원 진행 요청 (T. 장복주)</t>
    </r>
  </si>
  <si>
    <r>
      <rPr>
        <b/>
        <sz val="10"/>
        <color rgb="FF000000"/>
        <rFont val="Aptos Narrow"/>
        <scheme val="minor"/>
      </rPr>
      <t xml:space="preserve">[지식재산권]
</t>
    </r>
    <r>
      <rPr>
        <sz val="10"/>
        <color rgb="FF000000"/>
        <rFont val="Aptos Narrow"/>
        <scheme val="minor"/>
      </rPr>
      <t xml:space="preserve">*병상정보디스플레이 활용 IoT 장치데이터 수집
ㄴ 출원내용 보강 및 </t>
    </r>
  </si>
  <si>
    <r>
      <rPr>
        <b/>
        <sz val="10"/>
        <color rgb="FF000000"/>
        <rFont val="Aptos Narrow"/>
        <scheme val="minor"/>
      </rPr>
      <t xml:space="preserve">[시스템 실증]
</t>
    </r>
    <r>
      <rPr>
        <sz val="10"/>
        <color rgb="FF000000"/>
        <rFont val="Aptos Narrow"/>
        <scheme val="minor"/>
      </rPr>
      <t>*가상병원 시스템 운영 전환 준비
ㄴ 채혈실 밀집도 및 외래최적화 서비스  설정변경 기능수정사항 및 배포</t>
    </r>
  </si>
  <si>
    <r>
      <rPr>
        <b/>
        <sz val="10"/>
        <color rgb="FF000000"/>
        <rFont val="Aptos Narrow"/>
        <scheme val="minor"/>
      </rPr>
      <t xml:space="preserve">* 가상병원 운영 전환 : 2.10 화
</t>
    </r>
    <r>
      <rPr>
        <sz val="10"/>
        <color rgb="FF000000"/>
        <rFont val="Aptos Narrow"/>
        <scheme val="minor"/>
      </rPr>
      <t xml:space="preserve">ㄴ 오픈 후 상태 모니터링 및 점검 예정 </t>
    </r>
  </si>
  <si>
    <r>
      <rPr>
        <b/>
        <sz val="10"/>
        <color theme="1"/>
        <rFont val="Aptos Narrow"/>
        <scheme val="minor"/>
      </rPr>
      <t xml:space="preserve">* 가상병원 수행방안 협의 : 2.11 수
</t>
    </r>
    <r>
      <rPr>
        <sz val="10"/>
        <color theme="1"/>
        <rFont val="Aptos Narrow"/>
        <scheme val="minor"/>
      </rPr>
      <t>ㄴ 용인, 양산부산대, 헬리오센, 피플앤드테크놀러지</t>
    </r>
  </si>
  <si>
    <r>
      <rPr>
        <b/>
        <sz val="10"/>
        <color rgb="FF000000"/>
        <rFont val="Aptos Narrow"/>
        <scheme val="minor"/>
      </rPr>
      <t xml:space="preserve">[단계평가]
</t>
    </r>
    <r>
      <rPr>
        <sz val="10"/>
        <color rgb="FF000000"/>
        <rFont val="Aptos Narrow"/>
        <scheme val="minor"/>
      </rPr>
      <t>* 1단계 단계평가 준비 및 평가 (02.04 수)</t>
    </r>
  </si>
  <si>
    <r>
      <rPr>
        <b/>
        <sz val="10"/>
        <color rgb="FF000000"/>
        <rFont val="Aptos Narrow"/>
        <scheme val="minor"/>
      </rPr>
      <t xml:space="preserve">[웨어러블 의료기기 로지스틱 개발]
</t>
    </r>
    <r>
      <rPr>
        <sz val="10"/>
        <color rgb="FF000000"/>
        <rFont val="Aptos Narrow"/>
        <scheme val="minor"/>
      </rPr>
      <t>* 요구사항 분석 항목 및 인터뷰 질의서 리뷰 (W 권현하)
* 요구사항 구체화를 위한 협의 진행 (예정)</t>
    </r>
  </si>
  <si>
    <r>
      <rPr>
        <b/>
        <sz val="10"/>
        <color rgb="FF000000"/>
        <rFont val="Aptos Narrow"/>
        <scheme val="minor"/>
      </rPr>
      <t xml:space="preserve">[웨어러블 의료기기 환자 할당·해제 연동]
</t>
    </r>
    <r>
      <rPr>
        <sz val="10"/>
        <color rgb="FF000000"/>
        <rFont val="Aptos Narrow"/>
        <scheme val="minor"/>
      </rPr>
      <t>*  논의 일정 수립 요청 (T 스카이랩스)</t>
    </r>
  </si>
  <si>
    <r>
      <rPr>
        <b/>
        <sz val="10"/>
        <color rgb="FF000000"/>
        <rFont val="Aptos Narrow"/>
        <scheme val="minor"/>
      </rPr>
      <t xml:space="preserve">[웨어러블 의료기기 환자 할당·해제 연동]
</t>
    </r>
    <r>
      <rPr>
        <sz val="10"/>
        <color rgb="FF000000"/>
        <rFont val="Aptos Narrow"/>
        <scheme val="minor"/>
      </rPr>
      <t>* 스카이랩스 장비 연동 - 현황파악 및 수행방안 논의 (예정)</t>
    </r>
  </si>
  <si>
    <r>
      <rPr>
        <b/>
        <sz val="10"/>
        <color rgb="FF000000"/>
        <rFont val="Aptos Narrow"/>
        <scheme val="minor"/>
      </rPr>
      <t xml:space="preserve">[인수인계 및 현황파악]
</t>
    </r>
    <r>
      <rPr>
        <sz val="10"/>
        <color rgb="FF000000"/>
        <rFont val="Aptos Narrow"/>
        <scheme val="minor"/>
      </rPr>
      <t>*  사업계획서 및 진행사항 파악</t>
    </r>
  </si>
  <si>
    <r>
      <rPr>
        <b/>
        <sz val="10"/>
        <color rgb="FF000000"/>
        <rFont val="Aptos Narrow"/>
        <scheme val="minor"/>
      </rPr>
      <t xml:space="preserve">[인수인계 및 현황파악]
</t>
    </r>
    <r>
      <rPr>
        <sz val="10"/>
        <color rgb="FF000000"/>
        <rFont val="Aptos Narrow"/>
        <scheme val="minor"/>
      </rPr>
      <t xml:space="preserve">* 사업계획서 및 진행사항 파악(계속)
* 정기 주간회의
</t>
    </r>
  </si>
  <si>
    <r>
      <rPr>
        <b/>
        <sz val="10"/>
        <color rgb="FF000000"/>
        <rFont val="Aptos Narrow"/>
        <scheme val="minor"/>
      </rPr>
      <t xml:space="preserve">[모바일팀 인수인계 ]
</t>
    </r>
    <r>
      <rPr>
        <sz val="10"/>
        <color rgb="FF000000"/>
        <rFont val="Aptos Narrow"/>
        <scheme val="minor"/>
      </rPr>
      <t>* 이성전 -&gt; 이효영
* 각 사업별 진행사항 및 인사 자료 전달
* 업무협의 및 지원</t>
    </r>
  </si>
  <si>
    <r>
      <rPr>
        <b/>
        <sz val="10"/>
        <color rgb="FF000000"/>
        <rFont val="Aptos Narrow"/>
        <scheme val="minor"/>
      </rPr>
      <t xml:space="preserve">[모바일팀 인수인계 ]
</t>
    </r>
    <r>
      <rPr>
        <sz val="10"/>
        <color rgb="FF000000"/>
        <rFont val="Aptos Narrow"/>
        <scheme val="minor"/>
      </rPr>
      <t>* 업무협의 및 지원
* 25년 귀속 인사평가 개별 면담(예정)</t>
    </r>
  </si>
  <si>
    <r>
      <rPr>
        <b/>
        <sz val="10"/>
        <color rgb="FF000000"/>
        <rFont val="Aptos Narrow"/>
        <scheme val="minor"/>
      </rPr>
      <t xml:space="preserve">[AX Sprint 스마트 노인요양시설 표준모델]
</t>
    </r>
    <r>
      <rPr>
        <sz val="10"/>
        <color rgb="FF000000"/>
        <rFont val="Aptos Narrow"/>
        <scheme val="minor"/>
      </rPr>
      <t xml:space="preserve">- 제안 준비 (Holding): 2월말 정식 공고예정
</t>
    </r>
  </si>
  <si>
    <r>
      <rPr>
        <b/>
        <sz val="10"/>
        <color rgb="FF000000"/>
        <rFont val="Aptos Narrow"/>
        <scheme val="minor"/>
      </rPr>
      <t xml:space="preserve">[AX Sprint 스마트 노인요양시설 표준모델]
</t>
    </r>
    <r>
      <rPr>
        <sz val="10"/>
        <color rgb="FF000000"/>
        <rFont val="Aptos Narrow"/>
        <scheme val="minor"/>
      </rPr>
      <t>- N/A</t>
    </r>
  </si>
  <si>
    <t>DX공통</t>
  </si>
  <si>
    <r>
      <rPr>
        <b/>
        <sz val="10"/>
        <color rgb="FF000000"/>
        <rFont val="Aptos Narrow"/>
        <scheme val="minor"/>
      </rPr>
      <t xml:space="preserve">[지식재산권]
</t>
    </r>
    <r>
      <rPr>
        <sz val="10"/>
        <color rgb="FF000000"/>
        <rFont val="Aptos Narrow"/>
        <scheme val="minor"/>
      </rPr>
      <t>*"병상디스플레이 기능" 특허 관련 "본" 업체 출원 진행 문의
* 특허 출원 제10-2023-0049003호에 대한 등록비용 청구 요청 (장복주 부장)</t>
    </r>
  </si>
  <si>
    <r>
      <rPr>
        <b/>
        <sz val="10"/>
        <color rgb="FF000000"/>
        <rFont val="Aptos Narrow"/>
        <scheme val="minor"/>
      </rPr>
      <t xml:space="preserve">[지식재산권]
</t>
    </r>
    <r>
      <rPr>
        <sz val="10"/>
        <color rgb="FF000000"/>
        <rFont val="Aptos Narrow"/>
        <scheme val="minor"/>
      </rPr>
      <t>*"병상디스플레이 기능" 특허 출원 예정</t>
    </r>
  </si>
  <si>
    <r>
      <rPr>
        <b/>
        <sz val="10"/>
        <color rgb="FF000000"/>
        <rFont val="Aptos Narrow"/>
        <scheme val="minor"/>
      </rPr>
      <t xml:space="preserve">[단계평가준비]
</t>
    </r>
    <r>
      <rPr>
        <sz val="10"/>
        <color rgb="FF000000"/>
        <rFont val="Aptos Narrow"/>
        <scheme val="minor"/>
      </rPr>
      <t>* 1단계 단계평가 준비 (02.04 수)</t>
    </r>
  </si>
  <si>
    <r>
      <rPr>
        <b/>
        <sz val="10"/>
        <color rgb="FF000000"/>
        <rFont val="Aptos Narrow"/>
        <scheme val="minor"/>
      </rPr>
      <t xml:space="preserve">[연구개발수행]
</t>
    </r>
    <r>
      <rPr>
        <sz val="10"/>
        <color rgb="FF000000"/>
        <rFont val="Aptos Narrow"/>
        <scheme val="minor"/>
      </rPr>
      <t>* 외부디스플레이 화면 기획에 따른 기능/디자인(곽태정 대리) 검토
* 네트워크 고도화 비용 집행에 따른 결재</t>
    </r>
  </si>
  <si>
    <r>
      <rPr>
        <b/>
        <sz val="10"/>
        <color rgb="FF000000"/>
        <rFont val="Aptos Narrow"/>
        <scheme val="minor"/>
      </rPr>
      <t xml:space="preserve">[연구개발수행]
</t>
    </r>
    <r>
      <rPr>
        <sz val="10"/>
        <color rgb="FF000000"/>
        <rFont val="Aptos Narrow"/>
        <scheme val="minor"/>
      </rPr>
      <t>* 전광판 상용 연동 일정 협의 예정
* 네트워크 고도화 일정 협의 예정</t>
    </r>
  </si>
  <si>
    <r>
      <rPr>
        <b/>
        <sz val="10"/>
        <color rgb="FF000000"/>
        <rFont val="Aptos Narrow"/>
      </rPr>
      <t xml:space="preserve">[과제행정]
</t>
    </r>
    <r>
      <rPr>
        <sz val="10"/>
        <color rgb="FF000000"/>
        <rFont val="Aptos Narrow"/>
      </rPr>
      <t>* RCMS 민간부담금 납부기한 변경 진행중
 ㄴ 주관기관에게 변경 요청</t>
    </r>
  </si>
  <si>
    <r>
      <rPr>
        <b/>
        <sz val="10"/>
        <color rgb="FF000000"/>
        <rFont val="Aptos Narrow"/>
      </rPr>
      <t xml:space="preserve">[과제행정]
</t>
    </r>
    <r>
      <rPr>
        <sz val="10"/>
        <color rgb="FF000000"/>
        <rFont val="Aptos Narrow"/>
      </rPr>
      <t>* 민간부담금 납부기한 변경 완료</t>
    </r>
  </si>
  <si>
    <r>
      <rPr>
        <b/>
        <sz val="10"/>
        <color rgb="FF000000"/>
        <rFont val="Aptos Narrow"/>
      </rPr>
      <t xml:space="preserve">[과제행정]
</t>
    </r>
    <r>
      <rPr>
        <sz val="10"/>
        <color rgb="FF000000"/>
        <rFont val="Aptos Narrow"/>
      </rPr>
      <t>* 과제 계속비 편성 및 기관부담금 입금 관련 정보 문의
* 전체 수행과제 현황 파악
  ㄴ 과제별 간사, 연구관리시스템 정보</t>
    </r>
  </si>
  <si>
    <r>
      <rPr>
        <b/>
        <sz val="10"/>
        <color rgb="FF000000"/>
        <rFont val="Aptos Narrow"/>
      </rPr>
      <t xml:space="preserve">[과제행정]
</t>
    </r>
    <r>
      <rPr>
        <sz val="10"/>
        <color rgb="FF000000"/>
        <rFont val="Aptos Narrow"/>
      </rPr>
      <t>* 과제 수행 이슈 대응</t>
    </r>
  </si>
  <si>
    <r>
      <rPr>
        <b/>
        <sz val="10"/>
        <color rgb="FF000000"/>
        <rFont val="Aptos Narrow"/>
      </rPr>
      <t xml:space="preserve">[연구개발] - 웨어러블 로지스틱 관리
</t>
    </r>
    <r>
      <rPr>
        <sz val="10"/>
        <color rgb="FF000000"/>
        <rFont val="Aptos Narrow"/>
      </rPr>
      <t>* 일산병원 요청사항 분석서 초안 작성 및 1차 검토</t>
    </r>
  </si>
  <si>
    <r>
      <rPr>
        <b/>
        <sz val="10"/>
        <color rgb="FF000000"/>
        <rFont val="Aptos Narrow"/>
      </rPr>
      <t xml:space="preserve">[연구개발] - 웨어러블 로지스틱 관리
</t>
    </r>
    <r>
      <rPr>
        <sz val="10"/>
        <color rgb="FF000000"/>
        <rFont val="Aptos Narrow"/>
      </rPr>
      <t>* 시스템 요구사항 검토 및 분석
 ㄴ 인터뷰 질의서 작성</t>
    </r>
  </si>
  <si>
    <r>
      <rPr>
        <b/>
        <sz val="10"/>
        <color rgb="FF000000"/>
        <rFont val="Aptos Narrow"/>
      </rPr>
      <t xml:space="preserve">[정량정 성능 지표]
</t>
    </r>
    <r>
      <rPr>
        <sz val="10"/>
        <color rgb="FF000000"/>
        <rFont val="Aptos Narrow"/>
      </rPr>
      <t>* IRIS SW 저작권 등록을 위한 정보 요청</t>
    </r>
  </si>
  <si>
    <r>
      <rPr>
        <b/>
        <sz val="10"/>
        <color rgb="FF000000"/>
        <rFont val="Aptos Narrow"/>
      </rPr>
      <t xml:space="preserve">[정량정 성능 지표]
</t>
    </r>
    <r>
      <rPr>
        <sz val="10"/>
        <color rgb="FF000000"/>
        <rFont val="Aptos Narrow"/>
      </rPr>
      <t>* IRIS SW 저작권 등록 완료 및 주관기관 내용 전달</t>
    </r>
  </si>
  <si>
    <r>
      <rPr>
        <b/>
        <sz val="10"/>
        <color rgb="FF000000"/>
        <rFont val="Aptos Narrow"/>
        <scheme val="minor"/>
      </rPr>
      <t xml:space="preserve">[과제 수주 및 관리]
</t>
    </r>
    <r>
      <rPr>
        <sz val="10"/>
        <color rgb="FF0070C0"/>
        <rFont val="Aptos Narrow"/>
        <scheme val="minor"/>
      </rPr>
      <t xml:space="preserve">* (사업계획) AX Sprint 스마트 노인요양시설 표준모델 
ㄴ 제안 준비 (Holding): 정식공고 후 진행 예정
</t>
    </r>
    <r>
      <rPr>
        <sz val="10"/>
        <color rgb="FF000000"/>
        <rFont val="Aptos Narrow"/>
        <scheme val="minor"/>
      </rPr>
      <t>*정량적, 정성적 목표 세부사항 정리
ㄴ 과제 통합 관리 템플릿 작성 및 세부사항 정리 (진행중)
*과제별 수행 실무책임자 선정 및 수행 계획 및 목표 수립
ㄴ 팀 KPI 수립 시 작성 통합하여 작성 (항목 제외)</t>
    </r>
  </si>
  <si>
    <r>
      <rPr>
        <b/>
        <sz val="10"/>
        <color rgb="FF0070C0"/>
        <rFont val="Aptos Narrow"/>
        <scheme val="minor"/>
      </rPr>
      <t xml:space="preserve">*과제사업계획 - 요양시설 (보류) 
</t>
    </r>
    <r>
      <rPr>
        <sz val="10"/>
        <color rgb="FF0070C0"/>
        <rFont val="Aptos Narrow"/>
        <scheme val="minor"/>
      </rPr>
      <t xml:space="preserve">ㄴ 정식 사업공고 후 진행
</t>
    </r>
  </si>
  <si>
    <r>
      <rPr>
        <b/>
        <sz val="10"/>
        <color rgb="FF000000"/>
        <rFont val="Aptos Narrow"/>
        <scheme val="minor"/>
      </rPr>
      <t xml:space="preserve">[조직운영관리]
</t>
    </r>
    <r>
      <rPr>
        <sz val="10"/>
        <color rgb="FF000000"/>
        <rFont val="Aptos Narrow"/>
        <scheme val="minor"/>
      </rPr>
      <t>*2026년도 팀 목표 및 KPI 수립
ㄴ 팀/개인 KPI 수립 기준 및 평가기준 수립 (진행중)
ㄴ 팀 개인별 역량 평가 항목 및 기준 수립(진행중)
ㄴ 2026년도 팀 KPI 목표 수립(진행중)</t>
    </r>
  </si>
  <si>
    <r>
      <rPr>
        <b/>
        <sz val="10"/>
        <color rgb="FF000000"/>
        <rFont val="Aptos Narrow"/>
        <scheme val="minor"/>
      </rPr>
      <t xml:space="preserve">[조직운영관리]
</t>
    </r>
    <r>
      <rPr>
        <sz val="10"/>
        <color rgb="FF000000"/>
        <rFont val="Aptos Narrow"/>
        <scheme val="minor"/>
      </rPr>
      <t>*2026년도 팀 목표 및 KPI 목표 수립
ㄴ 팀/개인 KPI 수립 기준 및 평가기준 수립 (진행중)
ㄴ 팀 개인별 역량 평가 항목 및 기준 수립(진행중)
ㄴ 2026년도 팀 KPI 목표 수립(진행중) : 협의 (2.10 화 13:00 ~ )
*2025년도 인사평가
ㄴ 대상자 면담 및 자체평가 실시</t>
    </r>
  </si>
  <si>
    <r>
      <rPr>
        <b/>
        <sz val="10"/>
        <color rgb="FF0070C0"/>
        <rFont val="Aptos Narrow"/>
      </rPr>
      <t xml:space="preserve">*질병관리청 공공AX 실무책임자 변경 
</t>
    </r>
    <r>
      <rPr>
        <sz val="10"/>
        <color rgb="FF0070C0"/>
        <rFont val="Aptos Narrow"/>
      </rPr>
      <t xml:space="preserve">ㄴ 이성전 이사로 변경함
</t>
    </r>
    <r>
      <rPr>
        <b/>
        <sz val="10"/>
        <color rgb="FF0070C0"/>
        <rFont val="Aptos Narrow"/>
      </rPr>
      <t xml:space="preserve">*한양대 치매코호트 과제 용역 진행방안
</t>
    </r>
    <r>
      <rPr>
        <sz val="10"/>
        <color rgb="FF0070C0"/>
        <rFont val="Aptos Narrow"/>
      </rPr>
      <t>ㄴ 수행방안 결정 및 KPI 목표 논의 시 방향 결정(예정)</t>
    </r>
  </si>
  <si>
    <r>
      <rPr>
        <b/>
        <sz val="10"/>
        <color rgb="FF000000"/>
        <rFont val="Aptos Narrow"/>
        <scheme val="minor"/>
      </rPr>
      <t xml:space="preserve">[지식재산권]
</t>
    </r>
    <r>
      <rPr>
        <sz val="10"/>
        <color rgb="FF000000"/>
        <rFont val="Aptos Narrow"/>
        <scheme val="minor"/>
      </rPr>
      <t>*병상정보디스플레이 활용 IoT 장치데이터 수집 출원 검토 (완료)
ㄴ 발명신고서 기안 및 승인 (완료)
* IoMT 동행자 특허 등록비용 청구 요청 (장복주 부장)</t>
    </r>
  </si>
  <si>
    <r>
      <rPr>
        <b/>
        <sz val="10"/>
        <color rgb="FF000000"/>
        <rFont val="Aptos Narrow"/>
        <scheme val="minor"/>
      </rPr>
      <t xml:space="preserve">[지식재산권]
</t>
    </r>
    <r>
      <rPr>
        <sz val="10"/>
        <color rgb="FF000000"/>
        <rFont val="Aptos Narrow"/>
        <scheme val="minor"/>
      </rPr>
      <t>*"병상정보디스플레이 활용 IoT 장치데이터 수집" 출원 (진행)</t>
    </r>
  </si>
  <si>
    <r>
      <rPr>
        <b/>
        <sz val="10"/>
        <color rgb="FF0070C0"/>
        <rFont val="Aptos Narrow"/>
        <scheme val="minor"/>
      </rPr>
      <t xml:space="preserve">*병상정보디스플레이 활용 특허 출원 진행  
</t>
    </r>
    <r>
      <rPr>
        <sz val="10"/>
        <color rgb="FF0070C0"/>
        <rFont val="Aptos Narrow"/>
        <scheme val="minor"/>
      </rPr>
      <t>ㄴ 경영지원실 출원 진행 자급 집행 요청</t>
    </r>
  </si>
  <si>
    <r>
      <rPr>
        <b/>
        <sz val="10"/>
        <color rgb="FF000000"/>
        <rFont val="Aptos Narrow"/>
        <scheme val="minor"/>
      </rPr>
      <t xml:space="preserve">[모바일팀 인수인계 ] 이성전
</t>
    </r>
    <r>
      <rPr>
        <sz val="10"/>
        <color rgb="FF000000"/>
        <rFont val="Aptos Narrow"/>
        <scheme val="minor"/>
      </rPr>
      <t>* 각 사업별 진행사항 및 인사 자료 전달
* 업무협의 및 지원</t>
    </r>
  </si>
  <si>
    <r>
      <rPr>
        <b/>
        <sz val="10"/>
        <color rgb="FF000000"/>
        <rFont val="Aptos Narrow"/>
        <scheme val="minor"/>
      </rPr>
      <t xml:space="preserve">[AX Sprint 스마트 노인요양시설 표준모델]
</t>
    </r>
    <r>
      <rPr>
        <sz val="10"/>
        <color rgb="FF000000"/>
        <rFont val="Aptos Narrow"/>
        <scheme val="minor"/>
      </rPr>
      <t>- 제안 준비 (Holding): 2월말 정식 공고예정</t>
    </r>
  </si>
  <si>
    <r>
      <rPr>
        <b/>
        <sz val="10"/>
        <color rgb="FFC00000"/>
        <rFont val="Aptos Narrow"/>
        <scheme val="minor"/>
      </rPr>
      <t xml:space="preserve">* 유연의료 3세부 부담금관련 납부기한 2.1일 설정 조치
</t>
    </r>
    <r>
      <rPr>
        <sz val="10"/>
        <color rgb="FFC00000"/>
        <rFont val="Aptos Narrow"/>
        <scheme val="minor"/>
      </rPr>
      <t>ㄴ 협약내용 입금기한이 RCMS에 반영되지 않음
ㄴ 주관기관 통하여 조치방안 확인 중</t>
    </r>
  </si>
  <si>
    <r>
      <rPr>
        <b/>
        <sz val="10"/>
        <color rgb="FF0070C0"/>
        <rFont val="Aptos Narrow"/>
        <scheme val="minor"/>
      </rPr>
      <t xml:space="preserve">* 가상병원 운영 전환 : 2.10 화
</t>
    </r>
    <r>
      <rPr>
        <sz val="10"/>
        <color rgb="FF0070C0"/>
        <rFont val="Aptos Narrow"/>
        <scheme val="minor"/>
      </rPr>
      <t xml:space="preserve">ㄴ 오픈 후 상태 모니터링 및 점검 예정 </t>
    </r>
  </si>
  <si>
    <r>
      <rPr>
        <b/>
        <sz val="10"/>
        <color rgb="FF0070C0"/>
        <rFont val="Aptos Narrow"/>
        <scheme val="minor"/>
      </rPr>
      <t xml:space="preserve">* 가상병원 수행방안 협의 : 2.11 수
</t>
    </r>
    <r>
      <rPr>
        <sz val="10"/>
        <color rgb="FF0070C0"/>
        <rFont val="Aptos Narrow"/>
        <scheme val="minor"/>
      </rPr>
      <t>ㄴ 용인, 양산부산대, 헬리오센, 피플앤드테크놀러지</t>
    </r>
  </si>
  <si>
    <r>
      <rPr>
        <b/>
        <sz val="10"/>
        <color rgb="FF000000"/>
        <rFont val="Aptos Narrow"/>
      </rPr>
      <t xml:space="preserve">[연구개발] - 웨어러블 로지스틱 관리
</t>
    </r>
    <r>
      <rPr>
        <sz val="10"/>
        <color rgb="FF000000"/>
        <rFont val="Aptos Narrow"/>
      </rPr>
      <t>* 시스템 요구사항 검토 및 분석 :  인터뷰 질의서 작성</t>
    </r>
  </si>
  <si>
    <t>* 권현하 대리 : 기획 업무 역량 강화 목적 배정</t>
  </si>
  <si>
    <t>* 25년 성과 미진행 사항 조치</t>
  </si>
  <si>
    <r>
      <rPr>
        <b/>
        <sz val="10"/>
        <color rgb="FF000000"/>
        <rFont val="Aptos Narrow"/>
        <scheme val="minor"/>
      </rPr>
      <t xml:space="preserve">[인수인계 및 현황파악]
</t>
    </r>
    <r>
      <rPr>
        <sz val="10"/>
        <color rgb="FF000000"/>
        <rFont val="Aptos Narrow"/>
        <scheme val="minor"/>
      </rPr>
      <t>* 사업계획서 및 진행사항 파악(계속)
* 정기 주간회의</t>
    </r>
  </si>
  <si>
    <t>* 실무 PM 교체 : 이성전이사</t>
  </si>
  <si>
    <t>1. 타이틀 컬럼 : 노란색 바탕 항목만 입력</t>
  </si>
  <si>
    <r>
      <rPr>
        <b/>
        <sz val="10"/>
        <color theme="1"/>
        <rFont val="맑은 고딕"/>
        <family val="3"/>
        <charset val="129"/>
        <scheme val="minor"/>
      </rPr>
      <t>[과제 수주 및 관리]</t>
    </r>
    <r>
      <rPr>
        <sz val="10"/>
        <color theme="1"/>
        <rFont val="맑은 고딕"/>
        <family val="3"/>
        <charset val="129"/>
        <scheme val="minor"/>
      </rPr>
      <t xml:space="preserve">
* 보건 RFP18-1낙상 : 사업계획 작성 및 제출
* 보건 RFP 13-2 저출산 : 사업계획 행정 및 제출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</si>
  <si>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[과제 수주 및 관리]</t>
    </r>
    <r>
      <rPr>
        <sz val="10"/>
        <color theme="1"/>
        <rFont val="맑은 고딕"/>
        <family val="3"/>
        <charset val="129"/>
        <scheme val="minor"/>
      </rPr>
      <t xml:space="preserve">
* 정량적, 정성적 목표 세부사항 정리
* 과제별 수행 실무책임자 선정 및 수행 계획 및 목표 수립
* 과제별 계속비 편성 및 기관부담금입금관련 점검</t>
    </r>
    <phoneticPr fontId="1" type="noConversion"/>
  </si>
  <si>
    <t>* 2026 보건 과제 2건 계획서 제출
* 질병관리청 수행 책임자선정</t>
    <phoneticPr fontId="1" type="noConversion"/>
  </si>
  <si>
    <r>
      <rPr>
        <sz val="11"/>
        <color rgb="FF000000"/>
        <rFont val="Aptos Narrow"/>
        <scheme val="minor"/>
      </rPr>
      <t xml:space="preserve">2. 내용작성 : 연구개발 항목단위로 행을 분리하여 작성 아래의 형태로 작성
</t>
    </r>
    <r>
      <rPr>
        <b/>
        <sz val="11"/>
        <color rgb="FF000000"/>
        <rFont val="Aptos Narrow"/>
        <scheme val="minor"/>
      </rPr>
      <t xml:space="preserve">[연구개발항목명] : [] 볼드
</t>
    </r>
    <r>
      <rPr>
        <sz val="11"/>
        <color rgb="FF000000"/>
        <rFont val="Aptos Narrow"/>
        <scheme val="minor"/>
      </rPr>
      <t>*세부연구개발내용
ㄴ상세내용</t>
    </r>
  </si>
  <si>
    <r>
      <rPr>
        <b/>
        <sz val="10"/>
        <color rgb="FF000000"/>
        <rFont val="Aptos Narrow"/>
        <scheme val="minor"/>
      </rPr>
      <t xml:space="preserve">[조직 운영 관리]
</t>
    </r>
    <r>
      <rPr>
        <sz val="10"/>
        <color rgb="FF000000"/>
        <rFont val="Aptos Narrow"/>
        <scheme val="minor"/>
      </rPr>
      <t>* 조직 체계 및 인원 계획 수립 
* 조직 업무 관리 및 보고 체계 방법 수립</t>
    </r>
  </si>
  <si>
    <t>파트구성 및 인력 계획 수립</t>
    <phoneticPr fontId="1" type="noConversion"/>
  </si>
  <si>
    <t xml:space="preserve">3. 행추가 시 : 기존 작성된 행을 복사하여 복사한셀 삽입으로 추가할것 
</t>
  </si>
  <si>
    <t xml:space="preserve">4. 프로젝트명 추가 및 수정 시
ㄴ 기준값설정 Sheet 의 프로젝트목록에 추가 </t>
  </si>
  <si>
    <r>
      <rPr>
        <b/>
        <sz val="10"/>
        <color theme="1"/>
        <rFont val="맑은 고딕"/>
        <family val="3"/>
        <charset val="129"/>
        <scheme val="minor"/>
      </rPr>
      <t>[자체 특허 출원 : 사업방어목적]</t>
    </r>
    <r>
      <rPr>
        <sz val="10"/>
        <color theme="1"/>
        <rFont val="맑은 고딕"/>
        <family val="3"/>
        <charset val="129"/>
        <scheme val="minor"/>
      </rPr>
      <t xml:space="preserve">
(가칭)병상 디스플레이를 활용한 IoT 장치 데이터 수집 방안
* 특어 기안 작성 및 특허법인 전달</t>
    </r>
    <phoneticPr fontId="1" type="noConversion"/>
  </si>
  <si>
    <r>
      <rPr>
        <b/>
        <sz val="10"/>
        <color rgb="FF000000"/>
        <rFont val="Aptos Narrow"/>
        <scheme val="minor"/>
      </rPr>
      <t xml:space="preserve">[자체 특허 출원 : 사업방어목적]
</t>
    </r>
    <r>
      <rPr>
        <sz val="10"/>
        <color rgb="FF000000"/>
        <rFont val="Aptos Narrow"/>
        <scheme val="minor"/>
      </rPr>
      <t>(가칭)병상 디스플레이를 활용한 IoT 장치 데이터 수집 방안
* 특허 출원 진행</t>
    </r>
  </si>
  <si>
    <t xml:space="preserve">5. 팀원 추가 시
ㄴ 기준값설정 Sheet 의 프로젝트목록에 추가 </t>
  </si>
  <si>
    <r>
      <rPr>
        <b/>
        <sz val="10"/>
        <color theme="1"/>
        <rFont val="맑은 고딕"/>
        <family val="3"/>
        <charset val="129"/>
        <scheme val="minor"/>
      </rPr>
      <t>[일산병원-자산관리고도화]</t>
    </r>
    <r>
      <rPr>
        <sz val="10"/>
        <color theme="1"/>
        <rFont val="맑은 고딕"/>
        <family val="3"/>
        <charset val="129"/>
        <scheme val="minor"/>
      </rPr>
      <t xml:space="preserve">
* 자산고도화 2차 개발건 기능 확인 점검
* 자산 Issue 확인 조치 &gt; 설정 문제 상용 서버 수정 완료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</si>
  <si>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[일산병원-자산관리고도화]</t>
    </r>
    <r>
      <rPr>
        <sz val="10"/>
        <color theme="1"/>
        <rFont val="맑은 고딕"/>
        <family val="3"/>
        <charset val="129"/>
        <scheme val="minor"/>
      </rPr>
      <t xml:space="preserve">
 * 병원 내 적용일정 협의 및 배포일정 수립
</t>
    </r>
    <phoneticPr fontId="1" type="noConversion"/>
  </si>
  <si>
    <r>
      <rPr>
        <sz val="11"/>
        <color rgb="FF000000"/>
        <rFont val="Aptos Narrow"/>
        <scheme val="minor"/>
      </rPr>
      <t xml:space="preserve">6. 비고 및 중요 내용에 대한 강조
</t>
    </r>
    <r>
      <rPr>
        <b/>
        <sz val="11"/>
        <color rgb="FFC00000"/>
        <rFont val="Aptos Narrow"/>
        <scheme val="minor"/>
      </rPr>
      <t xml:space="preserve">ㄴ 파트장 및 조직장이 꼭 확인해야 할 사항 붉은색 / 볼드 - 폰트색상선택 &gt; 표준색 첫번째
</t>
    </r>
    <r>
      <rPr>
        <b/>
        <sz val="11"/>
        <color rgb="FF0070C0"/>
        <rFont val="Aptos Narrow"/>
        <scheme val="minor"/>
      </rPr>
      <t>ㄴ 리미인드 차원에서 확인해야 할 사항 파란색 / 볼드 - 폰트색상선택 &gt; 표준색 뒤에서 세번째</t>
    </r>
  </si>
  <si>
    <r>
      <rPr>
        <b/>
        <sz val="10"/>
        <color theme="1"/>
        <rFont val="맑은 고딕"/>
        <family val="3"/>
        <charset val="129"/>
        <scheme val="minor"/>
      </rPr>
      <t>[단계보고] 준비</t>
    </r>
    <r>
      <rPr>
        <sz val="10"/>
        <color theme="1"/>
        <rFont val="맑은 고딕"/>
        <family val="3"/>
        <charset val="129"/>
        <scheme val="minor"/>
      </rPr>
      <t xml:space="preserve">
* 단계보고서, 발표자료 : 지적사항 수정 및 보강</t>
    </r>
    <phoneticPr fontId="1" type="noConversion"/>
  </si>
  <si>
    <r>
      <rPr>
        <b/>
        <sz val="10"/>
        <color rgb="FFC00000"/>
        <rFont val="맑은 고딕"/>
        <family val="3"/>
        <charset val="129"/>
        <scheme val="minor"/>
      </rPr>
      <t>[단계보고] 발표평가 (2.4)</t>
    </r>
    <r>
      <rPr>
        <sz val="10"/>
        <color theme="1"/>
        <rFont val="맑은 고딕"/>
        <family val="3"/>
        <charset val="129"/>
        <scheme val="minor"/>
      </rPr>
      <t xml:space="preserve">
* 단계평가 수행 및 지적사항 조치</t>
    </r>
    <phoneticPr fontId="1" type="noConversion"/>
  </si>
  <si>
    <r>
      <t xml:space="preserve">일시 / 장소 : 2.4 (수) 1:30
대한상공회의소 8층 7평가장
</t>
    </r>
    <r>
      <rPr>
        <b/>
        <sz val="10"/>
        <color rgb="FF0070C0"/>
        <rFont val="맑은 고딕"/>
        <family val="3"/>
        <charset val="129"/>
        <scheme val="minor"/>
      </rPr>
      <t>- 일정점검 : 홍성표</t>
    </r>
  </si>
  <si>
    <r>
      <rPr>
        <b/>
        <sz val="10"/>
        <color rgb="FFC00000"/>
        <rFont val="맑은 고딕"/>
        <family val="3"/>
        <charset val="129"/>
        <scheme val="minor"/>
      </rPr>
      <t>[5네트워크 개선] : 원격지 서버 접속</t>
    </r>
    <r>
      <rPr>
        <sz val="10"/>
        <color theme="1"/>
        <rFont val="맑은 고딕"/>
        <family val="3"/>
        <charset val="129"/>
        <scheme val="minor"/>
      </rPr>
      <t xml:space="preserve">
(목적) 원격지 시스템 접속 환경 개선
* 폐쇄망 내외부 통신 방안 개선 (추가비용 발생)
  ㄴ VPN 장치 및 전용망 구성 비용 : </t>
    </r>
    <r>
      <rPr>
        <b/>
        <sz val="10"/>
        <color theme="1"/>
        <rFont val="맑은 고딕"/>
        <family val="3"/>
        <charset val="129"/>
        <scheme val="minor"/>
      </rPr>
      <t>520만원 예상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</si>
  <si>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[5네트워크 개선]</t>
    </r>
    <r>
      <rPr>
        <sz val="10"/>
        <color theme="1"/>
        <rFont val="맑은 고딕"/>
        <family val="3"/>
        <charset val="129"/>
        <scheme val="minor"/>
      </rPr>
      <t xml:space="preserve">
* 5G 네크워크 방향 비용 승인, 구매절차 수행</t>
    </r>
    <phoneticPr fontId="1" type="noConversion"/>
  </si>
  <si>
    <t xml:space="preserve">[추가비용 승인 필요]
* 원격지 접근을 통한 지방 출장 시 
  출장 파견 인원 감소  목적
  </t>
    <phoneticPr fontId="1" type="noConversion"/>
  </si>
  <si>
    <r>
      <rPr>
        <b/>
        <sz val="10"/>
        <color rgb="FF002060"/>
        <rFont val="맑은 고딕"/>
        <family val="3"/>
        <charset val="129"/>
        <scheme val="minor"/>
      </rPr>
      <t>[연구개발사항] 완료</t>
    </r>
    <r>
      <rPr>
        <sz val="10"/>
        <color rgb="FF002060"/>
        <rFont val="맑은 고딕"/>
        <family val="3"/>
        <charset val="129"/>
        <scheme val="minor"/>
      </rPr>
      <t xml:space="preserve">
* 시설물 전광판 Grade 연동 : 확인 (완료)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</si>
  <si>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[단계보고] 준비</t>
    </r>
    <r>
      <rPr>
        <sz val="10"/>
        <color theme="1"/>
        <rFont val="맑은 고딕"/>
        <family val="3"/>
        <charset val="129"/>
        <scheme val="minor"/>
      </rPr>
      <t xml:space="preserve">
'* 단계보고서, 발표자료 : 지적사항 수정 및 보강</t>
    </r>
    <phoneticPr fontId="1" type="noConversion"/>
  </si>
  <si>
    <r>
      <t xml:space="preserve">일시 / 장소 : 2.4 (수) 1:30
대한상공회의소 8층 7평가장
</t>
    </r>
    <r>
      <rPr>
        <b/>
        <sz val="10"/>
        <color rgb="FF0070C0"/>
        <rFont val="맑은 고딕"/>
        <family val="3"/>
        <charset val="129"/>
        <scheme val="minor"/>
      </rPr>
      <t>- 일정점검 : 한정호</t>
    </r>
  </si>
  <si>
    <t>-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</si>
  <si>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[정량적 성능 지표]</t>
    </r>
    <r>
      <rPr>
        <sz val="10"/>
        <color theme="1"/>
        <rFont val="맑은 고딕"/>
        <family val="3"/>
        <charset val="129"/>
        <scheme val="minor"/>
      </rPr>
      <t xml:space="preserve">
* SW 저작권 등록 완료 - 25년성과 누락분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</si>
  <si>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[정량적 성능 지표]</t>
    </r>
    <r>
      <rPr>
        <sz val="10"/>
        <color theme="1"/>
        <rFont val="맑은 고딕"/>
        <family val="3"/>
        <charset val="129"/>
        <scheme val="minor"/>
      </rPr>
      <t xml:space="preserve">
* SW 저작권 - IRIS 성과 등록 및 주관기관 내용 전달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</si>
  <si>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[연구개발] - 스카이랩스장비연동</t>
    </r>
    <r>
      <rPr>
        <sz val="10"/>
        <color theme="1"/>
        <rFont val="맑은 고딕"/>
        <family val="3"/>
        <charset val="129"/>
        <scheme val="minor"/>
      </rPr>
      <t xml:space="preserve">
* 스카이랩스 장비 연동 - 요청사항파악 (F.스카이랩스)
 ㄴ 장치 할당해제 및 결과 연동 전송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</si>
  <si>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[연구개발] - 스카이랩스장비연동</t>
    </r>
    <r>
      <rPr>
        <sz val="10"/>
        <color theme="1"/>
        <rFont val="맑은 고딕"/>
        <family val="3"/>
        <charset val="129"/>
        <scheme val="minor"/>
      </rPr>
      <t xml:space="preserve">
* 스카이랩스 장비 연동 - 현황파악 및 수행방안 논의
 ㄴ 장치 할당해제 및 결과 연동 전송</t>
    </r>
    <phoneticPr fontId="1" type="noConversion"/>
  </si>
  <si>
    <r>
      <t xml:space="preserve">* 스카이랩스 수행 방향 협의요청건
</t>
    </r>
    <r>
      <rPr>
        <b/>
        <sz val="10"/>
        <color rgb="FFC00000"/>
        <rFont val="맑은 고딕"/>
        <family val="3"/>
        <charset val="129"/>
        <scheme val="minor"/>
      </rPr>
      <t>* 인수인계 누락 현황파악 필요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</si>
  <si>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[연구개발] - 웨어러블 로지스틱 관리</t>
    </r>
    <r>
      <rPr>
        <sz val="10"/>
        <color theme="1"/>
        <rFont val="맑은 고딕"/>
        <family val="3"/>
        <charset val="129"/>
        <scheme val="minor"/>
      </rPr>
      <t xml:space="preserve">
* 일산병원 요청사항 - 1차검토 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</si>
  <si>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[연구개발] - 웨어러블 로지스틱 관리</t>
    </r>
    <r>
      <rPr>
        <sz val="10"/>
        <color theme="1"/>
        <rFont val="맑은 고딕"/>
        <family val="3"/>
        <charset val="129"/>
        <scheme val="minor"/>
      </rPr>
      <t xml:space="preserve">
* 시스템 요구사항 검토 및 분석 </t>
    </r>
    <phoneticPr fontId="1" type="noConversion"/>
  </si>
  <si>
    <t>프로젝트 목록</t>
  </si>
  <si>
    <t>팀원목록</t>
  </si>
  <si>
    <t>프로젝트코드</t>
  </si>
  <si>
    <t>AX</t>
  </si>
  <si>
    <t>과제0013</t>
  </si>
  <si>
    <t>과제0014</t>
  </si>
  <si>
    <t>과제0023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</si>
</sst>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b/>
      <sz val="10"/>
      <color rgb="FF00206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rgb="FF000000"/>
      <name val="Aptos Narrow"/>
      <scheme val="minor"/>
    </font>
    <font>
      <sz val="10"/>
      <color rgb="FF000000"/>
      <name val="Aptos Narrow"/>
      <scheme val="minor"/>
    </font>
    <font>
      <b/>
      <i/>
      <sz val="10"/>
      <color theme="1"/>
      <name val="맑은 고딕"/>
      <family val="3"/>
      <charset val="129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C00000"/>
      <name val="Aptos Narrow"/>
      <scheme val="minor"/>
    </font>
    <font>
      <b/>
      <sz val="11"/>
      <color rgb="FF0070C0"/>
      <name val="Aptos Narrow"/>
      <scheme val="minor"/>
    </font>
    <font>
      <sz val="11"/>
      <color theme="1"/>
      <name val="Aptos Narrow"/>
      <scheme val="minor"/>
    </font>
    <font>
      <sz val="10"/>
      <color rgb="FF0070C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0"/>
      <color rgb="FF0070C0"/>
      <name val="Aptos Narrow"/>
      <scheme val="minor"/>
    </font>
    <font>
      <b/>
      <sz val="10"/>
      <color rgb="FF0070C0"/>
      <name val="Aptos Narrow"/>
      <scheme val="minor"/>
    </font>
    <font>
      <b/>
      <sz val="10"/>
      <color rgb="FFC00000"/>
      <name val="Aptos Narrow"/>
      <scheme val="minor"/>
    </font>
    <font>
      <sz val="10"/>
      <color rgb="FFC00000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b/>
      <sz val="10"/>
      <color rgb="FF0070C0"/>
      <name val="Aptos Narrow"/>
    </font>
    <font>
      <sz val="10"/>
      <color rgb="FF0070C0"/>
      <name val="Aptos Narrow"/>
    </font>
    <font>
      <sz val="10"/>
      <color rgb="FF000000"/>
      <name val="Aptos Narrow"/>
    </font>
    <font>
      <b/>
      <sz val="10"/>
      <color rgb="FF000000"/>
      <name val="Aptos Narrow"/>
    </font>
    <font>
      <sz val="10"/>
      <color rgb="FFC00000"/>
      <name val="Aptos Narrow"/>
    </font>
    <font>
      <sz val="10"/>
      <color theme="1"/>
      <name val="Aptos Narrow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2060"/>
      <name val="Aptos Narrow"/>
      <scheme val="minor"/>
    </font>
    <font>
      <sz val="10"/>
      <color rgb="FF002060"/>
      <name val="Aptos Narrow"/>
      <scheme val="minor"/>
    </font>
    <font>
      <b/>
      <sz val="10"/>
      <color rgb="FFFF0000"/>
      <name val="Aptos Narrow"/>
      <scheme val="minor"/>
    </font>
    <font>
      <b/>
      <sz val="10"/>
      <color rgb="FFFF0000"/>
      <name val="Aptos Narrow"/>
    </font>
    <font>
      <sz val="10"/>
      <color rgb="FFFF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0" borderId="1" xfId="0" quotePrefix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quotePrefix="1" applyFont="1" applyBorder="1" applyAlignment="1">
      <alignment horizontal="left" vertical="top" wrapText="1"/>
    </xf>
    <xf numFmtId="0" fontId="4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4" fillId="0" borderId="1" xfId="0" quotePrefix="1" applyFont="1" applyBorder="1" applyAlignment="1">
      <alignment vertical="top" wrapText="1"/>
    </xf>
    <xf numFmtId="0" fontId="6" fillId="0" borderId="1" xfId="0" quotePrefix="1" applyFont="1" applyBorder="1" applyAlignment="1">
      <alignment vertical="top" wrapText="1"/>
    </xf>
    <xf numFmtId="0" fontId="6" fillId="0" borderId="1" xfId="0" quotePrefix="1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0" fillId="0" borderId="1" xfId="0" quotePrefix="1" applyFont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1" fillId="4" borderId="1" xfId="0" quotePrefix="1" applyFont="1" applyFill="1" applyBorder="1" applyAlignment="1">
      <alignment horizontal="left" vertical="top" wrapText="1"/>
    </xf>
    <xf numFmtId="0" fontId="11" fillId="0" borderId="1" xfId="0" quotePrefix="1" applyFont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12" fillId="0" borderId="0" xfId="0" applyFont="1" applyAlignment="1">
      <alignment vertical="top" wrapText="1"/>
    </xf>
    <xf numFmtId="0" fontId="16" fillId="0" borderId="0" xfId="0" applyFont="1" applyAlignment="1">
      <alignment vertical="center" wrapText="1"/>
    </xf>
    <xf numFmtId="0" fontId="17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24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8" fillId="0" borderId="1" xfId="0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0" fontId="26" fillId="0" borderId="1" xfId="0" applyFont="1" applyBorder="1" applyAlignment="1">
      <alignment vertical="top" wrapText="1"/>
    </xf>
    <xf numFmtId="0" fontId="30" fillId="0" borderId="1" xfId="0" applyFont="1" applyBorder="1" applyAlignment="1">
      <alignment vertical="top" wrapText="1"/>
    </xf>
    <xf numFmtId="0" fontId="31" fillId="0" borderId="1" xfId="0" applyFont="1" applyBorder="1" applyAlignment="1">
      <alignment vertical="center" readingOrder="1"/>
    </xf>
    <xf numFmtId="0" fontId="31" fillId="0" borderId="1" xfId="0" applyFont="1" applyBorder="1" applyAlignment="1">
      <alignment vertical="center" wrapText="1" readingOrder="1"/>
    </xf>
    <xf numFmtId="0" fontId="6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7" fillId="0" borderId="2" xfId="0" applyFont="1" applyBorder="1" applyAlignment="1">
      <alignment vertical="top" wrapText="1"/>
    </xf>
    <xf numFmtId="0" fontId="11" fillId="4" borderId="4" xfId="0" applyFont="1" applyFill="1" applyBorder="1" applyAlignment="1">
      <alignment horizontal="left" vertical="top" wrapText="1"/>
    </xf>
    <xf numFmtId="0" fontId="27" fillId="0" borderId="4" xfId="0" applyFont="1" applyBorder="1" applyAlignment="1">
      <alignment vertical="top" wrapText="1"/>
    </xf>
    <xf numFmtId="0" fontId="31" fillId="0" borderId="6" xfId="0" applyFont="1" applyBorder="1" applyAlignment="1">
      <alignment vertical="center" readingOrder="1"/>
    </xf>
    <xf numFmtId="0" fontId="33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8" fillId="0" borderId="1" xfId="0" applyFont="1" applyBorder="1" applyAlignment="1">
      <alignment vertical="top" wrapText="1"/>
    </xf>
    <xf numFmtId="0" fontId="31" fillId="0" borderId="1" xfId="0" quotePrefix="1" applyFont="1" applyBorder="1" applyAlignment="1">
      <alignment vertical="center" readingOrder="1"/>
    </xf>
    <xf numFmtId="0" fontId="36" fillId="0" borderId="0" xfId="0" applyFont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35" fillId="0" borderId="1" xfId="0" applyFont="1" applyBorder="1" applyAlignment="1">
      <alignment vertical="top" wrapText="1"/>
    </xf>
    <xf numFmtId="0" fontId="11" fillId="4" borderId="2" xfId="0" quotePrefix="1" applyFont="1" applyFill="1" applyBorder="1" applyAlignment="1">
      <alignment horizontal="left" vertical="top" wrapText="1"/>
    </xf>
    <xf numFmtId="0" fontId="11" fillId="4" borderId="4" xfId="0" quotePrefix="1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1" fillId="4" borderId="3" xfId="0" quotePrefix="1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4C21-42C4-4ECE-B543-1467B656DAA7}">
  <dimension ref="A1:G41"/>
  <sheetViews>
    <sheetView tabSelected="1" topLeftCell="A11" workbookViewId="0">
      <selection activeCell="G17" sqref="G17"/>
    </sheetView>
  </sheetViews>
  <sheetFormatPr defaultRowHeight="16.5"/>
  <cols>
    <col min="1" max="2" width="12.375" customWidth="1"/>
    <col min="3" max="4" width="17.75" customWidth="1"/>
    <col min="5" max="6" width="54.875" customWidth="1"/>
    <col min="7" max="7" width="40.625" customWidth="1"/>
  </cols>
  <sheetData>
    <row r="1" spans="1:7">
      <c r="A1" s="16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5" t="s">
        <v>5</v>
      </c>
      <c r="G1" s="15" t="s">
        <v>6</v>
      </c>
    </row>
    <row r="2" spans="1:7" ht="54.75">
      <c r="A2" s="23" t="str">
        <f>VLOOKUP(B2,기준값설정!$D$2:$E$22,2,FALSE)</f>
        <v>DX</v>
      </c>
      <c r="B2" s="17" t="s">
        <v>7</v>
      </c>
      <c r="C2" s="17" t="s">
        <v>8</v>
      </c>
      <c r="D2" s="23" t="str">
        <f>VLOOKUP(C2,기준값설정!$A$2:$B$22,2,FALSE)</f>
        <v>공통2500</v>
      </c>
      <c r="E2" s="49" t="s">
        <v>9</v>
      </c>
      <c r="F2" s="19" t="s">
        <v>10</v>
      </c>
      <c r="G2" s="38" t="s">
        <v>11</v>
      </c>
    </row>
    <row r="3" spans="1:7" ht="99">
      <c r="A3" s="23" t="str">
        <f>VLOOKUP(B3,기준값설정!$D$2:$E$22,2,FALSE)</f>
        <v>DX</v>
      </c>
      <c r="B3" s="17" t="s">
        <v>7</v>
      </c>
      <c r="C3" s="17" t="s">
        <v>8</v>
      </c>
      <c r="D3" s="23" t="str">
        <f>VLOOKUP(C3,기준값설정!$A$2:$B$22,2,FALSE)</f>
        <v>공통2500</v>
      </c>
      <c r="E3" s="19" t="s">
        <v>12</v>
      </c>
      <c r="F3" s="19" t="s">
        <v>13</v>
      </c>
      <c r="G3" s="33" t="s">
        <v>14</v>
      </c>
    </row>
    <row r="4" spans="1:7" ht="51.75" customHeight="1">
      <c r="A4" s="23" t="str">
        <f>VLOOKUP(B4,기준값설정!$D$2:$E$22,2,FALSE)</f>
        <v>DX</v>
      </c>
      <c r="B4" s="17" t="s">
        <v>7</v>
      </c>
      <c r="C4" s="17" t="s">
        <v>8</v>
      </c>
      <c r="D4" s="23" t="str">
        <f>VLOOKUP(C4,기준값설정!$A$2:$B$22,2,FALSE)</f>
        <v>공통2500</v>
      </c>
      <c r="E4" s="49" t="s">
        <v>15</v>
      </c>
      <c r="F4" s="49" t="s">
        <v>16</v>
      </c>
      <c r="G4" s="33" t="s">
        <v>17</v>
      </c>
    </row>
    <row r="5" spans="1:7" ht="70.5">
      <c r="A5" s="23" t="str">
        <f>VLOOKUP(B5,기준값설정!$D$2:$E$22,2,FALSE)</f>
        <v>DX</v>
      </c>
      <c r="B5" s="17" t="s">
        <v>7</v>
      </c>
      <c r="C5" s="17" t="s">
        <v>8</v>
      </c>
      <c r="D5" s="23" t="str">
        <f>VLOOKUP(C5,기준값설정!$A$2:$B$22,2,FALSE)</f>
        <v>공통2500</v>
      </c>
      <c r="E5" s="49" t="s">
        <v>18</v>
      </c>
      <c r="F5" s="49" t="s">
        <v>19</v>
      </c>
      <c r="G5" s="33" t="s">
        <v>20</v>
      </c>
    </row>
    <row r="6" spans="1:7" ht="42">
      <c r="A6" s="23" t="str">
        <f>VLOOKUP(B6,기준값설정!$D$2:$E$22,2,FALSE)</f>
        <v>DX</v>
      </c>
      <c r="B6" s="17" t="s">
        <v>7</v>
      </c>
      <c r="C6" s="17" t="s">
        <v>8</v>
      </c>
      <c r="D6" s="23" t="str">
        <f>VLOOKUP(C6,기준값설정!$A$2:$B$22,2,FALSE)</f>
        <v>공통2500</v>
      </c>
      <c r="E6" s="49" t="s">
        <v>21</v>
      </c>
      <c r="F6" s="49" t="s">
        <v>22</v>
      </c>
      <c r="G6" s="33" t="s">
        <v>23</v>
      </c>
    </row>
    <row r="7" spans="1:7" ht="56.25">
      <c r="A7" s="23" t="str">
        <f>VLOOKUP(B7,기준값설정!$D$2:$E$22,2,FALSE)</f>
        <v>DX</v>
      </c>
      <c r="B7" s="17" t="s">
        <v>7</v>
      </c>
      <c r="C7" s="17" t="s">
        <v>24</v>
      </c>
      <c r="D7" s="23" t="str">
        <f>VLOOKUP(C7,기준값설정!$A$2:$B$22,2,FALSE)</f>
        <v>과제0023</v>
      </c>
      <c r="E7" s="19" t="s">
        <v>25</v>
      </c>
      <c r="F7" s="19" t="s">
        <v>26</v>
      </c>
      <c r="G7" s="32"/>
    </row>
    <row r="8" spans="1:7" ht="70.5">
      <c r="A8" s="23" t="str">
        <f>VLOOKUP(B8,기준값설정!$D$2:$E$22,2,FALSE)</f>
        <v>DX</v>
      </c>
      <c r="B8" s="17" t="s">
        <v>7</v>
      </c>
      <c r="C8" s="17" t="s">
        <v>24</v>
      </c>
      <c r="D8" s="23" t="str">
        <f>VLOOKUP(C8,기준값설정!$A$2:$B$22,2,FALSE)</f>
        <v>과제0023</v>
      </c>
      <c r="E8" s="19" t="s">
        <v>27</v>
      </c>
      <c r="F8" s="19" t="s">
        <v>28</v>
      </c>
      <c r="G8" s="39"/>
    </row>
    <row r="9" spans="1:7" ht="99">
      <c r="A9" s="23" t="str">
        <f>VLOOKUP(B9,기준값설정!$D$2:$E$22,2,FALSE)</f>
        <v>DX</v>
      </c>
      <c r="B9" s="17" t="s">
        <v>7</v>
      </c>
      <c r="C9" s="17" t="s">
        <v>29</v>
      </c>
      <c r="D9" s="23" t="str">
        <f>VLOOKUP(C9,기준값설정!$A$2:$B$22,2,FALSE)</f>
        <v>과제0024</v>
      </c>
      <c r="E9" s="19" t="s">
        <v>30</v>
      </c>
      <c r="F9" s="19" t="s">
        <v>31</v>
      </c>
      <c r="G9" s="38"/>
    </row>
    <row r="10" spans="1:7" ht="166.5">
      <c r="A10" s="23" t="str">
        <f>VLOOKUP(B10,기준값설정!$D$2:$E$22,2,FALSE)</f>
        <v>DX</v>
      </c>
      <c r="B10" s="17" t="s">
        <v>32</v>
      </c>
      <c r="C10" s="17" t="s">
        <v>33</v>
      </c>
      <c r="D10" s="23" t="str">
        <f>VLOOKUP(C10,기준값설정!$A$2:$B$22,2,FALSE)</f>
        <v>과제0027</v>
      </c>
      <c r="E10" s="19" t="s">
        <v>34</v>
      </c>
      <c r="F10" s="19" t="s">
        <v>35</v>
      </c>
      <c r="G10" s="9"/>
    </row>
    <row r="11" spans="1:7" ht="136.5">
      <c r="A11" s="23" t="str">
        <f>VLOOKUP(B11,기준값설정!$D$2:$E$22,2,FALSE)</f>
        <v>DX</v>
      </c>
      <c r="B11" s="17" t="s">
        <v>32</v>
      </c>
      <c r="C11" s="17" t="s">
        <v>8</v>
      </c>
      <c r="D11" s="23" t="str">
        <f>VLOOKUP(C11,기준값설정!$A$2:$B$22,2,FALSE)</f>
        <v>공통2500</v>
      </c>
      <c r="E11" s="19" t="s">
        <v>36</v>
      </c>
      <c r="F11" s="19" t="s">
        <v>37</v>
      </c>
      <c r="G11" s="6"/>
    </row>
    <row r="12" spans="1:7" ht="28.5">
      <c r="A12" s="50" t="str">
        <f>VLOOKUP(B12,기준값설정!$D$2:$E$22,2,FALSE)</f>
        <v>DX</v>
      </c>
      <c r="B12" s="17" t="s">
        <v>38</v>
      </c>
      <c r="C12" s="17" t="s">
        <v>8</v>
      </c>
      <c r="D12" s="50" t="str">
        <f>VLOOKUP(C12,기준값설정!$A$2:$B$22,2,FALSE)</f>
        <v>공통2500</v>
      </c>
      <c r="E12" s="32" t="s">
        <v>39</v>
      </c>
      <c r="F12" s="52" t="s">
        <v>40</v>
      </c>
      <c r="G12" s="6"/>
    </row>
    <row r="13" spans="1:7" ht="28.5">
      <c r="A13" s="50" t="str">
        <f>VLOOKUP(B13,기준값설정!$D$2:$E$22,2,FALSE)</f>
        <v>DX</v>
      </c>
      <c r="B13" s="17" t="s">
        <v>38</v>
      </c>
      <c r="C13" s="17" t="s">
        <v>8</v>
      </c>
      <c r="D13" s="50" t="str">
        <f>VLOOKUP(C13,기준값설정!$A$2:$B$22,2,FALSE)</f>
        <v>공통2500</v>
      </c>
      <c r="E13" s="32" t="s">
        <v>41</v>
      </c>
      <c r="F13" s="32" t="s">
        <v>42</v>
      </c>
      <c r="G13" s="39"/>
    </row>
    <row r="14" spans="1:7" ht="54.75">
      <c r="A14" s="50" t="str">
        <f>VLOOKUP(B14,기준값설정!$D$2:$E$22,2,FALSE)</f>
        <v>DX</v>
      </c>
      <c r="B14" s="17" t="s">
        <v>38</v>
      </c>
      <c r="C14" s="17" t="s">
        <v>43</v>
      </c>
      <c r="D14" s="50" t="str">
        <f>VLOOKUP(C14,기준값설정!$A$2:$B$22,2,FALSE)</f>
        <v>과제0013</v>
      </c>
      <c r="E14" s="32" t="s">
        <v>44</v>
      </c>
      <c r="F14" s="32" t="s">
        <v>45</v>
      </c>
      <c r="G14" s="39"/>
    </row>
    <row r="15" spans="1:7" ht="56.25">
      <c r="A15" s="50" t="str">
        <f>VLOOKUP(B15,기준값설정!$D$2:$E$22,2,FALSE)</f>
        <v>DX</v>
      </c>
      <c r="B15" s="17" t="s">
        <v>38</v>
      </c>
      <c r="C15" s="17" t="s">
        <v>43</v>
      </c>
      <c r="D15" s="50" t="str">
        <f>VLOOKUP(C15,기준값설정!$A$2:$B$22,2,FALSE)</f>
        <v>과제0013</v>
      </c>
      <c r="E15" s="32" t="s">
        <v>46</v>
      </c>
      <c r="F15" s="32" t="s">
        <v>47</v>
      </c>
      <c r="G15" s="56" t="s">
        <v>48</v>
      </c>
    </row>
    <row r="16" spans="1:7" ht="27">
      <c r="A16" s="51" t="str">
        <f>VLOOKUP(B16,기준값설정!$D$2:$E$22,2,FALSE)</f>
        <v>DX</v>
      </c>
      <c r="B16" s="34" t="s">
        <v>38</v>
      </c>
      <c r="C16" s="34" t="s">
        <v>49</v>
      </c>
      <c r="D16" s="51" t="s">
        <v>50</v>
      </c>
      <c r="E16" s="55" t="s">
        <v>51</v>
      </c>
      <c r="F16" s="44" t="s">
        <v>52</v>
      </c>
      <c r="G16" s="9"/>
    </row>
    <row r="17" spans="1:7" ht="69">
      <c r="A17" s="51" t="s">
        <v>53</v>
      </c>
      <c r="B17" s="34" t="s">
        <v>38</v>
      </c>
      <c r="C17" s="34" t="s">
        <v>54</v>
      </c>
      <c r="D17" s="51" t="s">
        <v>55</v>
      </c>
      <c r="E17" s="44" t="s">
        <v>56</v>
      </c>
      <c r="F17" s="44" t="s">
        <v>57</v>
      </c>
      <c r="G17" s="42"/>
    </row>
    <row r="18" spans="1:7" ht="54.75">
      <c r="A18" s="47" t="s">
        <v>53</v>
      </c>
      <c r="B18" s="40" t="s">
        <v>58</v>
      </c>
      <c r="C18" s="40" t="s">
        <v>59</v>
      </c>
      <c r="D18" s="53" t="s">
        <v>51</v>
      </c>
      <c r="E18" s="48" t="s">
        <v>60</v>
      </c>
      <c r="F18" s="48" t="s">
        <v>61</v>
      </c>
      <c r="G18" s="42"/>
    </row>
    <row r="19" spans="1:7" ht="54.75">
      <c r="A19" s="47" t="s">
        <v>53</v>
      </c>
      <c r="B19" s="40" t="s">
        <v>58</v>
      </c>
      <c r="C19" s="40" t="s">
        <v>29</v>
      </c>
      <c r="D19" s="40" t="s">
        <v>62</v>
      </c>
      <c r="E19" s="48" t="s">
        <v>63</v>
      </c>
      <c r="F19" s="48" t="s">
        <v>64</v>
      </c>
      <c r="G19" s="43"/>
    </row>
    <row r="20" spans="1:7" ht="27.75">
      <c r="A20" s="47" t="s">
        <v>53</v>
      </c>
      <c r="B20" s="40" t="s">
        <v>58</v>
      </c>
      <c r="C20" s="40" t="s">
        <v>65</v>
      </c>
      <c r="D20" s="40" t="s">
        <v>62</v>
      </c>
      <c r="E20" s="48" t="s">
        <v>66</v>
      </c>
      <c r="F20" s="48" t="s">
        <v>67</v>
      </c>
      <c r="G20" s="43"/>
    </row>
    <row r="21" spans="1:7" ht="42">
      <c r="A21" s="47" t="s">
        <v>53</v>
      </c>
      <c r="B21" s="40" t="s">
        <v>58</v>
      </c>
      <c r="C21" s="40" t="s">
        <v>68</v>
      </c>
      <c r="D21" s="40" t="s">
        <v>62</v>
      </c>
      <c r="E21" s="48" t="s">
        <v>69</v>
      </c>
      <c r="F21" s="48" t="s">
        <v>69</v>
      </c>
      <c r="G21" s="54" t="s">
        <v>70</v>
      </c>
    </row>
    <row r="22" spans="1:7" ht="41.25">
      <c r="A22" s="47" t="s">
        <v>53</v>
      </c>
      <c r="B22" s="40" t="s">
        <v>58</v>
      </c>
      <c r="C22" s="40" t="s">
        <v>71</v>
      </c>
      <c r="D22" s="40" t="s">
        <v>72</v>
      </c>
      <c r="E22" s="48" t="s">
        <v>73</v>
      </c>
      <c r="F22" s="48" t="s">
        <v>74</v>
      </c>
      <c r="G22" s="42"/>
    </row>
    <row r="23" spans="1:7" ht="42">
      <c r="A23" s="45" t="str">
        <f>VLOOKUP(B23,기준값설정!$D$2:$E$22,2,FALSE)</f>
        <v>AX</v>
      </c>
      <c r="B23" s="35" t="s">
        <v>75</v>
      </c>
      <c r="C23" s="35" t="s">
        <v>76</v>
      </c>
      <c r="D23" s="45" t="str">
        <f>VLOOKUP(C23,기준값설정!$A$2:$B$22,2,FALSE)</f>
        <v>공통2500</v>
      </c>
      <c r="E23" s="46" t="s">
        <v>77</v>
      </c>
      <c r="F23" s="46" t="s">
        <v>78</v>
      </c>
      <c r="G23" s="9"/>
    </row>
    <row r="24" spans="1:7" ht="96.75" customHeight="1">
      <c r="A24" s="45" t="str">
        <f>VLOOKUP(B24,기준값설정!$D$2:$E$22,2,FALSE)</f>
        <v>AX</v>
      </c>
      <c r="B24" s="35" t="s">
        <v>75</v>
      </c>
      <c r="C24" s="35" t="s">
        <v>76</v>
      </c>
      <c r="D24" s="45" t="str">
        <f>VLOOKUP(C24,기준값설정!$A$2:$B$22,2,FALSE)</f>
        <v>공통2500</v>
      </c>
      <c r="E24" s="46" t="s">
        <v>79</v>
      </c>
      <c r="F24" s="46" t="s">
        <v>80</v>
      </c>
      <c r="G24" s="9"/>
    </row>
    <row r="25" spans="1:7" ht="28.5">
      <c r="A25" s="45" t="str">
        <f>VLOOKUP(B25,기준값설정!$D$2:$E$22,2,FALSE)</f>
        <v>AX</v>
      </c>
      <c r="B25" s="35" t="s">
        <v>75</v>
      </c>
      <c r="C25" s="35" t="s">
        <v>81</v>
      </c>
      <c r="D25" s="45" t="str">
        <f>VLOOKUP(C25,기준값설정!$A$2:$B$22,2,FALSE)</f>
        <v>과제0026</v>
      </c>
      <c r="E25" s="46" t="s">
        <v>82</v>
      </c>
      <c r="F25" s="46" t="s">
        <v>83</v>
      </c>
      <c r="G25" s="9"/>
    </row>
    <row r="26" spans="1:7" ht="72" customHeight="1">
      <c r="A26" s="23" t="str">
        <f>VLOOKUP(B26,기준값설정!$D$2:$E$22,2,FALSE)</f>
        <v>AX</v>
      </c>
      <c r="B26" s="17" t="s">
        <v>75</v>
      </c>
      <c r="C26" s="17" t="s">
        <v>81</v>
      </c>
      <c r="D26" s="23" t="str">
        <f>VLOOKUP(C26,기준값설정!$A$2:$B$22,2,FALSE)</f>
        <v>과제0026</v>
      </c>
      <c r="E26" s="32" t="s">
        <v>84</v>
      </c>
      <c r="F26" s="32" t="s">
        <v>85</v>
      </c>
      <c r="G26" s="11" t="s">
        <v>86</v>
      </c>
    </row>
    <row r="27" spans="1:7" ht="54.75">
      <c r="A27" s="23" t="str">
        <f>VLOOKUP(B27,기준값설정!$D$2:$E$22,2,FALSE)</f>
        <v>AX</v>
      </c>
      <c r="B27" s="17" t="s">
        <v>75</v>
      </c>
      <c r="C27" s="17" t="s">
        <v>33</v>
      </c>
      <c r="D27" s="23" t="str">
        <f>VLOOKUP(C27,기준값설정!$A$2:$B$22,2,FALSE)</f>
        <v>과제0027</v>
      </c>
      <c r="E27" s="32" t="s">
        <v>87</v>
      </c>
      <c r="F27" s="32" t="s">
        <v>88</v>
      </c>
      <c r="G27" s="9"/>
    </row>
    <row r="28" spans="1:7" ht="126.75">
      <c r="A28" s="23" t="str">
        <f>VLOOKUP(B28,기준값설정!$D$2:$E$22,2,FALSE)</f>
        <v>AX</v>
      </c>
      <c r="B28" s="17" t="s">
        <v>89</v>
      </c>
      <c r="C28" s="17" t="s">
        <v>33</v>
      </c>
      <c r="D28" s="23" t="str">
        <f>VLOOKUP(C28,기준값설정!$A$2:$B$22,2,FALSE)</f>
        <v>과제0027</v>
      </c>
      <c r="E28" s="32" t="s">
        <v>90</v>
      </c>
      <c r="F28" s="32" t="s">
        <v>91</v>
      </c>
      <c r="G28" s="11" t="s">
        <v>92</v>
      </c>
    </row>
    <row r="29" spans="1:7" ht="28.5">
      <c r="A29" s="23" t="str">
        <f>VLOOKUP(B29,기준값설정!$D$2:$E$22,2,FALSE)</f>
        <v>AX</v>
      </c>
      <c r="B29" s="17" t="s">
        <v>89</v>
      </c>
      <c r="C29" s="17" t="s">
        <v>33</v>
      </c>
      <c r="D29" s="23" t="str">
        <f>VLOOKUP(C29,기준값설정!$A$2:$B$22,2,FALSE)</f>
        <v>과제0027</v>
      </c>
      <c r="E29" s="52" t="s">
        <v>93</v>
      </c>
      <c r="F29" s="52" t="s">
        <v>94</v>
      </c>
      <c r="G29" s="9"/>
    </row>
    <row r="30" spans="1:7" ht="56.25">
      <c r="A30" s="23" t="str">
        <f>VLOOKUP(B30,기준값설정!$D$2:$E$22,2,FALSE)</f>
        <v>AX</v>
      </c>
      <c r="B30" s="17" t="s">
        <v>89</v>
      </c>
      <c r="C30" s="17" t="s">
        <v>33</v>
      </c>
      <c r="D30" s="23" t="str">
        <f>VLOOKUP(C30,기준값설정!$A$2:$B$22,2,FALSE)</f>
        <v>과제0027</v>
      </c>
      <c r="E30" s="32" t="s">
        <v>95</v>
      </c>
      <c r="F30" s="32" t="s">
        <v>96</v>
      </c>
      <c r="G30" s="9"/>
    </row>
    <row r="31" spans="1:7" ht="75" customHeight="1">
      <c r="A31" s="23" t="str">
        <f>VLOOKUP(B31,기준값설정!$D$2:$E$22,2,FALSE)</f>
        <v>AX</v>
      </c>
      <c r="B31" s="17" t="s">
        <v>89</v>
      </c>
      <c r="C31" s="17" t="s">
        <v>33</v>
      </c>
      <c r="D31" s="23" t="str">
        <f>VLOOKUP(C31,기준값설정!$A$2:$B$22,2,FALSE)</f>
        <v>과제0027</v>
      </c>
      <c r="E31" s="32" t="s">
        <v>97</v>
      </c>
      <c r="F31" s="32" t="s">
        <v>98</v>
      </c>
      <c r="G31" s="11" t="s">
        <v>99</v>
      </c>
    </row>
    <row r="32" spans="1:7" ht="112.5" customHeight="1">
      <c r="A32" s="23" t="str">
        <f>VLOOKUP(B32,기준값설정!$D$2:$E$22,2,FALSE)</f>
        <v>AX</v>
      </c>
      <c r="B32" s="17" t="s">
        <v>89</v>
      </c>
      <c r="C32" s="17" t="s">
        <v>33</v>
      </c>
      <c r="D32" s="23" t="str">
        <f>VLOOKUP(C32,기준값설정!$A$2:$B$22,2,FALSE)</f>
        <v>과제0027</v>
      </c>
      <c r="E32" s="32" t="s">
        <v>100</v>
      </c>
      <c r="F32" s="32" t="s">
        <v>101</v>
      </c>
      <c r="G32" s="11"/>
    </row>
    <row r="33" spans="1:7" ht="41.25">
      <c r="A33" s="23" t="str">
        <f>VLOOKUP(B33,기준값설정!$D$2:$E$22,2,FALSE)</f>
        <v>AX</v>
      </c>
      <c r="B33" s="17" t="s">
        <v>89</v>
      </c>
      <c r="C33" s="17" t="s">
        <v>81</v>
      </c>
      <c r="D33" s="23" t="str">
        <f>VLOOKUP(C33,기준값설정!$A$2:$B$22,2,FALSE)</f>
        <v>과제0026</v>
      </c>
      <c r="E33" s="32" t="s">
        <v>102</v>
      </c>
      <c r="F33" s="32" t="s">
        <v>103</v>
      </c>
      <c r="G33" s="9" t="s">
        <v>104</v>
      </c>
    </row>
    <row r="34" spans="1:7" ht="99">
      <c r="A34" s="23" t="str">
        <f>VLOOKUP(B34,기준값설정!$D$2:$E$22,2,FALSE)</f>
        <v>AX</v>
      </c>
      <c r="B34" s="17" t="s">
        <v>105</v>
      </c>
      <c r="C34" s="17" t="s">
        <v>33</v>
      </c>
      <c r="D34" s="23" t="str">
        <f>VLOOKUP(C34,기준값설정!$A$2:$B$22,2,FALSE)</f>
        <v>과제0027</v>
      </c>
      <c r="E34" s="32" t="s">
        <v>106</v>
      </c>
      <c r="F34" s="32" t="s">
        <v>107</v>
      </c>
      <c r="G34" s="9"/>
    </row>
    <row r="35" spans="1:7" ht="68.25" customHeight="1">
      <c r="A35" s="23" t="str">
        <f>VLOOKUP(B35,기준값설정!$D$2:$E$22,2,FALSE)</f>
        <v>AX</v>
      </c>
      <c r="B35" s="17" t="s">
        <v>105</v>
      </c>
      <c r="C35" s="17" t="s">
        <v>33</v>
      </c>
      <c r="D35" s="23" t="str">
        <f>VLOOKUP(C35,기준값설정!$A$2:$B$22,2,FALSE)</f>
        <v>과제0027</v>
      </c>
      <c r="E35" s="32" t="s">
        <v>108</v>
      </c>
      <c r="F35" s="32" t="s">
        <v>109</v>
      </c>
      <c r="G35" s="9" t="s">
        <v>110</v>
      </c>
    </row>
    <row r="36" spans="1:7" ht="84.75">
      <c r="A36" s="23" t="str">
        <f>VLOOKUP(B36,기준값설정!$D$2:$E$22,2,FALSE)</f>
        <v>AX</v>
      </c>
      <c r="B36" s="17" t="s">
        <v>111</v>
      </c>
      <c r="C36" s="17" t="s">
        <v>33</v>
      </c>
      <c r="D36" s="23" t="str">
        <f>VLOOKUP(C36,기준값설정!$A$2:$B$22,2,FALSE)</f>
        <v>과제0027</v>
      </c>
      <c r="E36" s="32" t="s">
        <v>112</v>
      </c>
      <c r="F36" s="32" t="s">
        <v>113</v>
      </c>
      <c r="G36" s="9"/>
    </row>
    <row r="37" spans="1:7" ht="83.25">
      <c r="A37" s="23" t="str">
        <f>VLOOKUP(B37,기준값설정!$D$2:$E$22,2,FALSE)</f>
        <v>AX</v>
      </c>
      <c r="B37" s="17" t="s">
        <v>111</v>
      </c>
      <c r="C37" s="17" t="s">
        <v>33</v>
      </c>
      <c r="D37" s="23" t="str">
        <f>VLOOKUP(C37,기준값설정!$A$2:$B$22,2,FALSE)</f>
        <v>과제0027</v>
      </c>
      <c r="E37" s="32" t="s">
        <v>114</v>
      </c>
      <c r="F37" s="32" t="s">
        <v>115</v>
      </c>
      <c r="G37" s="11" t="s">
        <v>116</v>
      </c>
    </row>
    <row r="38" spans="1:7" ht="61.5" customHeight="1">
      <c r="A38" s="23" t="str">
        <f>VLOOKUP(B38,기준값설정!$D$2:$E$22,2,FALSE)</f>
        <v>AX</v>
      </c>
      <c r="B38" s="17" t="s">
        <v>111</v>
      </c>
      <c r="C38" s="17" t="s">
        <v>81</v>
      </c>
      <c r="D38" s="23" t="str">
        <f>VLOOKUP(C38,기준값설정!$A$2:$B$22,2,FALSE)</f>
        <v>과제0026</v>
      </c>
      <c r="E38" s="32" t="s">
        <v>117</v>
      </c>
      <c r="F38" s="32" t="s">
        <v>118</v>
      </c>
      <c r="G38" s="11" t="s">
        <v>119</v>
      </c>
    </row>
    <row r="39" spans="1:7" ht="83.25">
      <c r="A39" s="23" t="str">
        <f>VLOOKUP(B39,기준값설정!$D$2:$E$22,2,FALSE)</f>
        <v>AX</v>
      </c>
      <c r="B39" s="17" t="s">
        <v>120</v>
      </c>
      <c r="C39" s="17" t="s">
        <v>33</v>
      </c>
      <c r="D39" s="23" t="str">
        <f>VLOOKUP(C39,기준값설정!$A$2:$B$22,2,FALSE)</f>
        <v>과제0027</v>
      </c>
      <c r="E39" s="32" t="s">
        <v>121</v>
      </c>
      <c r="F39" s="32" t="s">
        <v>122</v>
      </c>
      <c r="G39" s="9"/>
    </row>
    <row r="40" spans="1:7">
      <c r="A40" s="23" t="e">
        <f>VLOOKUP(B40,기준값설정!$D$2:$E$22,2,FALSE)</f>
        <v>#N/A</v>
      </c>
      <c r="B40" s="17"/>
      <c r="C40" s="17"/>
      <c r="D40" s="23" t="e">
        <f>VLOOKUP(C40,기준값설정!$A$2:$B$22,2,FALSE)</f>
        <v>#N/A</v>
      </c>
      <c r="E40" s="32"/>
      <c r="F40" s="32"/>
      <c r="G40" s="9"/>
    </row>
    <row r="41" spans="1:7">
      <c r="A41" s="23" t="e">
        <f>VLOOKUP(B41,기준값설정!$D$2:$E$22,2,FALSE)</f>
        <v>#N/A</v>
      </c>
      <c r="B41" s="17"/>
      <c r="C41" s="17"/>
      <c r="D41" s="23" t="e">
        <f>VLOOKUP(C41,기준값설정!$A$2:$B$22,2,FALSE)</f>
        <v>#N/A</v>
      </c>
      <c r="E41" s="32"/>
      <c r="F41" s="32"/>
      <c r="G41" s="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CB8685-62E0-4FCF-8590-48D062A63D90}">
          <x14:formula1>
            <xm:f>기준값설정!$A$2:$A$22</xm:f>
          </x14:formula1>
          <xm:sqref>C23:C41 C2:C17</xm:sqref>
        </x14:dataValidation>
        <x14:dataValidation type="list" allowBlank="1" showInputMessage="1" showErrorMessage="1" xr:uid="{158F0CF6-B706-4498-9C5E-6E819117769C}">
          <x14:formula1>
            <xm:f>기준값설정!$D$2:$D$22</xm:f>
          </x14:formula1>
          <xm:sqref>B23:B41 B2:B17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0BFC-204F-480A-8BD7-D81AE7EDA2E6}">
  <dimension ref="A1:G41"/>
  <sheetViews>
    <sheetView zoomScale="115" zoomScaleNormal="115" workbookViewId="0">
      <pane ySplit="1" topLeftCell="A13" activePane="bottomLeft" state="frozen"/>
      <selection pane="bottomLeft" activeCell="F18" sqref="F18"/>
    </sheetView>
  </sheetViews>
  <sheetFormatPr defaultRowHeight="16.5"/>
  <cols>
    <col min="1" max="2" width="12.375" style="14" customWidth="1"/>
    <col min="3" max="4" width="17.75" style="14" customWidth="1"/>
    <col min="5" max="6" width="54.875" style="13" customWidth="1"/>
    <col min="7" max="7" width="40.625" style="14" customWidth="1"/>
  </cols>
  <sheetData>
    <row r="1" spans="1:7">
      <c r="A1" s="16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5" t="s">
        <v>5</v>
      </c>
      <c r="G1" s="15" t="s">
        <v>6</v>
      </c>
    </row>
    <row r="2" spans="1:7" s="14" customFormat="1" ht="54.75">
      <c r="A2" s="23" t="str">
        <f>VLOOKUP(B2,기준값설정!$D$2:$E$22,2,FALSE)</f>
        <v>DX</v>
      </c>
      <c r="B2" s="17" t="s">
        <v>7</v>
      </c>
      <c r="C2" s="17" t="s">
        <v>8</v>
      </c>
      <c r="D2" s="23" t="str">
        <f>VLOOKUP(C2,기준값설정!$A$2:$B$22,2,FALSE)</f>
        <v>공통2500</v>
      </c>
      <c r="E2" s="49" t="s">
        <v>9</v>
      </c>
      <c r="F2" s="19" t="s">
        <v>10</v>
      </c>
      <c r="G2" s="37"/>
    </row>
    <row r="3" spans="1:7" s="14" customFormat="1" ht="69">
      <c r="A3" s="23" t="str">
        <f>VLOOKUP(B3,기준값설정!$D$2:$E$22,2,FALSE)</f>
        <v>DX</v>
      </c>
      <c r="B3" s="17" t="s">
        <v>7</v>
      </c>
      <c r="C3" s="17" t="s">
        <v>8</v>
      </c>
      <c r="D3" s="23" t="str">
        <f>VLOOKUP(C3,기준값설정!$A$2:$B$22,2,FALSE)</f>
        <v>공통2500</v>
      </c>
      <c r="E3" s="49" t="s">
        <v>123</v>
      </c>
      <c r="F3" s="49" t="s">
        <v>124</v>
      </c>
      <c r="G3" s="38" t="s">
        <v>125</v>
      </c>
    </row>
    <row r="4" spans="1:7" s="14" customFormat="1" ht="96.75" customHeight="1">
      <c r="A4" s="23" t="str">
        <f>VLOOKUP(B4,기준값설정!$D$2:$E$22,2,FALSE)</f>
        <v>DX</v>
      </c>
      <c r="B4" s="17" t="s">
        <v>7</v>
      </c>
      <c r="C4" s="17" t="s">
        <v>8</v>
      </c>
      <c r="D4" s="23" t="str">
        <f>VLOOKUP(C4,기준값설정!$A$2:$B$22,2,FALSE)</f>
        <v>공통2500</v>
      </c>
      <c r="E4" s="19" t="s">
        <v>126</v>
      </c>
      <c r="F4" s="19" t="s">
        <v>127</v>
      </c>
      <c r="G4" s="33" t="s">
        <v>128</v>
      </c>
    </row>
    <row r="5" spans="1:7" s="14" customFormat="1" ht="42">
      <c r="A5" s="23" t="str">
        <f>VLOOKUP(B5,기준값설정!$D$2:$E$22,2,FALSE)</f>
        <v>DX</v>
      </c>
      <c r="B5" s="17" t="s">
        <v>7</v>
      </c>
      <c r="C5" s="17" t="s">
        <v>24</v>
      </c>
      <c r="D5" s="23" t="str">
        <f>VLOOKUP(C5,기준값설정!$A$2:$B$22,2,FALSE)</f>
        <v>과제0023</v>
      </c>
      <c r="E5" s="19" t="s">
        <v>129</v>
      </c>
      <c r="F5" s="19" t="s">
        <v>129</v>
      </c>
      <c r="G5" s="32"/>
    </row>
    <row r="6" spans="1:7" s="14" customFormat="1" ht="28.5">
      <c r="A6" s="23" t="str">
        <f>VLOOKUP(B6,기준값설정!$D$2:$E$22,2,FALSE)</f>
        <v>DX</v>
      </c>
      <c r="B6" s="17" t="s">
        <v>7</v>
      </c>
      <c r="C6" s="17" t="s">
        <v>24</v>
      </c>
      <c r="D6" s="23" t="str">
        <f>VLOOKUP(C6,기준값설정!$A$2:$B$22,2,FALSE)</f>
        <v>과제0023</v>
      </c>
      <c r="E6" s="19" t="s">
        <v>130</v>
      </c>
      <c r="F6" s="19" t="s">
        <v>131</v>
      </c>
      <c r="G6" s="39"/>
    </row>
    <row r="7" spans="1:7" s="14" customFormat="1" ht="28.5">
      <c r="A7" s="23" t="str">
        <f>VLOOKUP(B7,기준값설정!$D$2:$E$22,2,FALSE)</f>
        <v>DX</v>
      </c>
      <c r="B7" s="17" t="s">
        <v>7</v>
      </c>
      <c r="C7" s="17" t="s">
        <v>29</v>
      </c>
      <c r="D7" s="23" t="str">
        <f>VLOOKUP(C7,기준값설정!$A$2:$B$22,2,FALSE)</f>
        <v>과제0024</v>
      </c>
      <c r="E7" s="19" t="s">
        <v>132</v>
      </c>
      <c r="F7" s="19"/>
      <c r="G7" s="38"/>
    </row>
    <row r="8" spans="1:7" s="14" customFormat="1" ht="42">
      <c r="A8" s="23" t="str">
        <f>VLOOKUP(B8,기준값설정!$D$2:$E$22,2,FALSE)</f>
        <v>DX</v>
      </c>
      <c r="B8" s="17" t="s">
        <v>7</v>
      </c>
      <c r="C8" s="17" t="s">
        <v>29</v>
      </c>
      <c r="D8" s="23" t="str">
        <f>VLOOKUP(C8,기준값설정!$A$2:$B$22,2,FALSE)</f>
        <v>과제0024</v>
      </c>
      <c r="E8" s="19" t="s">
        <v>133</v>
      </c>
      <c r="F8" s="19" t="s">
        <v>134</v>
      </c>
      <c r="G8" s="6"/>
    </row>
    <row r="9" spans="1:7" s="14" customFormat="1" ht="175.5" customHeight="1">
      <c r="A9" s="23" t="str">
        <f>VLOOKUP(B9,기준값설정!$D$2:$E$22,2,FALSE)</f>
        <v>DX</v>
      </c>
      <c r="B9" s="17" t="s">
        <v>32</v>
      </c>
      <c r="C9" s="17" t="s">
        <v>33</v>
      </c>
      <c r="D9" s="23" t="str">
        <f>VLOOKUP(C9,기준값설정!$A$2:$B$22,2,FALSE)</f>
        <v>과제0027</v>
      </c>
      <c r="E9" s="19" t="s">
        <v>34</v>
      </c>
      <c r="F9" s="19" t="s">
        <v>35</v>
      </c>
      <c r="G9" s="9"/>
    </row>
    <row r="10" spans="1:7" s="14" customFormat="1" ht="148.5" customHeight="1">
      <c r="A10" s="23" t="str">
        <f>VLOOKUP(B10,기준값설정!$D$2:$E$22,2,FALSE)</f>
        <v>DX</v>
      </c>
      <c r="B10" s="17" t="s">
        <v>32</v>
      </c>
      <c r="C10" s="17" t="s">
        <v>8</v>
      </c>
      <c r="D10" s="23" t="str">
        <f>VLOOKUP(C10,기준값설정!$A$2:$B$22,2,FALSE)</f>
        <v>공통2500</v>
      </c>
      <c r="E10" s="19" t="s">
        <v>36</v>
      </c>
      <c r="F10" s="19" t="s">
        <v>37</v>
      </c>
      <c r="G10" s="6"/>
    </row>
    <row r="11" spans="1:7" s="14" customFormat="1" ht="28.5">
      <c r="A11" s="50" t="str">
        <f>VLOOKUP(B11,기준값설정!$D$2:$E$22,2,FALSE)</f>
        <v>DX</v>
      </c>
      <c r="B11" s="17" t="s">
        <v>38</v>
      </c>
      <c r="C11" s="17" t="s">
        <v>8</v>
      </c>
      <c r="D11" s="50" t="str">
        <f>VLOOKUP(C11,기준값설정!$A$2:$B$22,2,FALSE)</f>
        <v>공통2500</v>
      </c>
      <c r="E11" s="32" t="s">
        <v>135</v>
      </c>
      <c r="F11" s="32" t="s">
        <v>136</v>
      </c>
      <c r="G11" s="6"/>
    </row>
    <row r="12" spans="1:7" s="14" customFormat="1" ht="56.25">
      <c r="A12" s="50" t="str">
        <f>VLOOKUP(B12,기준값설정!$D$2:$E$22,2,FALSE)</f>
        <v>DX</v>
      </c>
      <c r="B12" s="17" t="s">
        <v>38</v>
      </c>
      <c r="C12" s="17" t="s">
        <v>8</v>
      </c>
      <c r="D12" s="50" t="str">
        <f>VLOOKUP(C12,기준값설정!$A$2:$B$22,2,FALSE)</f>
        <v>공통2500</v>
      </c>
      <c r="E12" s="32" t="s">
        <v>137</v>
      </c>
      <c r="F12" s="32" t="s">
        <v>42</v>
      </c>
      <c r="G12" s="39"/>
    </row>
    <row r="13" spans="1:7" s="14" customFormat="1" ht="56.25">
      <c r="A13" s="50" t="str">
        <f>VLOOKUP(B13,기준값설정!$D$2:$E$22,2,FALSE)</f>
        <v>DX</v>
      </c>
      <c r="B13" s="17" t="s">
        <v>38</v>
      </c>
      <c r="C13" s="17" t="s">
        <v>43</v>
      </c>
      <c r="D13" s="50" t="str">
        <f>VLOOKUP(C13,기준값설정!$A$2:$B$22,2,FALSE)</f>
        <v>과제0013</v>
      </c>
      <c r="E13" s="32" t="s">
        <v>138</v>
      </c>
      <c r="F13" s="32" t="s">
        <v>139</v>
      </c>
      <c r="G13" s="39"/>
    </row>
    <row r="14" spans="1:7" s="14" customFormat="1" ht="84.75">
      <c r="A14" s="50" t="str">
        <f>VLOOKUP(B14,기준값설정!$D$2:$E$22,2,FALSE)</f>
        <v>DX</v>
      </c>
      <c r="B14" s="17" t="s">
        <v>38</v>
      </c>
      <c r="C14" s="17" t="s">
        <v>43</v>
      </c>
      <c r="D14" s="50" t="str">
        <f>VLOOKUP(C14,기준값설정!$A$2:$B$22,2,FALSE)</f>
        <v>과제0013</v>
      </c>
      <c r="E14" s="32" t="s">
        <v>140</v>
      </c>
      <c r="F14" s="32" t="s">
        <v>141</v>
      </c>
      <c r="G14" s="9"/>
    </row>
    <row r="15" spans="1:7" s="14" customFormat="1" ht="56.25">
      <c r="A15" s="51" t="str">
        <f>VLOOKUP(B15,기준값설정!$D$2:$E$22,2,FALSE)</f>
        <v>DX</v>
      </c>
      <c r="B15" s="34" t="s">
        <v>38</v>
      </c>
      <c r="C15" s="34" t="s">
        <v>49</v>
      </c>
      <c r="D15" s="51" t="s">
        <v>50</v>
      </c>
      <c r="E15" s="44" t="s">
        <v>142</v>
      </c>
      <c r="F15" s="44"/>
      <c r="G15" s="9"/>
    </row>
    <row r="16" spans="1:7" s="14" customFormat="1" ht="78" customHeight="1">
      <c r="A16" s="51" t="s">
        <v>53</v>
      </c>
      <c r="B16" s="34" t="s">
        <v>38</v>
      </c>
      <c r="C16" s="34" t="s">
        <v>54</v>
      </c>
      <c r="D16" s="51" t="s">
        <v>55</v>
      </c>
      <c r="E16" s="44" t="s">
        <v>143</v>
      </c>
      <c r="F16" s="44" t="s">
        <v>144</v>
      </c>
      <c r="G16" s="42"/>
    </row>
    <row r="17" spans="1:7" s="14" customFormat="1" ht="41.25">
      <c r="A17" s="47" t="s">
        <v>53</v>
      </c>
      <c r="B17" s="40" t="s">
        <v>58</v>
      </c>
      <c r="C17" s="40" t="s">
        <v>8</v>
      </c>
      <c r="D17" s="40" t="s">
        <v>145</v>
      </c>
      <c r="E17" s="41" t="s">
        <v>146</v>
      </c>
      <c r="F17" s="41" t="s">
        <v>147</v>
      </c>
      <c r="G17" s="42"/>
    </row>
    <row r="18" spans="1:7" ht="41.25">
      <c r="A18" s="47" t="s">
        <v>53</v>
      </c>
      <c r="B18" s="40" t="s">
        <v>58</v>
      </c>
      <c r="C18" s="40" t="s">
        <v>29</v>
      </c>
      <c r="D18" s="40" t="s">
        <v>62</v>
      </c>
      <c r="E18" s="48" t="s">
        <v>148</v>
      </c>
      <c r="F18" s="48" t="s">
        <v>149</v>
      </c>
      <c r="G18" s="43"/>
    </row>
    <row r="19" spans="1:7" ht="27.75">
      <c r="A19" s="47" t="s">
        <v>53</v>
      </c>
      <c r="B19" s="40" t="s">
        <v>58</v>
      </c>
      <c r="C19" s="40" t="s">
        <v>29</v>
      </c>
      <c r="D19" s="40" t="s">
        <v>62</v>
      </c>
      <c r="E19" s="41" t="s">
        <v>150</v>
      </c>
      <c r="F19" s="41" t="s">
        <v>151</v>
      </c>
      <c r="G19" s="43"/>
    </row>
    <row r="20" spans="1:7" ht="27.75">
      <c r="A20" s="47" t="s">
        <v>53</v>
      </c>
      <c r="B20" s="40" t="s">
        <v>58</v>
      </c>
      <c r="C20" s="40" t="s">
        <v>68</v>
      </c>
      <c r="D20" s="40" t="s">
        <v>62</v>
      </c>
      <c r="E20" s="48" t="s">
        <v>152</v>
      </c>
      <c r="F20" s="41" t="s">
        <v>153</v>
      </c>
      <c r="G20" s="43"/>
    </row>
    <row r="21" spans="1:7" ht="54.75">
      <c r="A21" s="47" t="s">
        <v>53</v>
      </c>
      <c r="B21" s="40" t="s">
        <v>58</v>
      </c>
      <c r="C21" s="40" t="s">
        <v>68</v>
      </c>
      <c r="D21" s="40" t="s">
        <v>62</v>
      </c>
      <c r="E21" s="48" t="s">
        <v>154</v>
      </c>
      <c r="F21" s="41" t="s">
        <v>155</v>
      </c>
      <c r="G21" s="42"/>
    </row>
    <row r="22" spans="1:7" ht="27.75">
      <c r="A22" s="47" t="s">
        <v>53</v>
      </c>
      <c r="B22" s="40" t="s">
        <v>58</v>
      </c>
      <c r="C22" s="40" t="s">
        <v>156</v>
      </c>
      <c r="D22" s="40" t="s">
        <v>157</v>
      </c>
      <c r="E22" s="48" t="s">
        <v>158</v>
      </c>
      <c r="F22" s="48" t="s">
        <v>159</v>
      </c>
      <c r="G22" s="42"/>
    </row>
    <row r="23" spans="1:7" ht="96.75">
      <c r="A23" s="47" t="s">
        <v>53</v>
      </c>
      <c r="B23" s="40" t="s">
        <v>58</v>
      </c>
      <c r="C23" s="40" t="s">
        <v>71</v>
      </c>
      <c r="D23" s="40" t="s">
        <v>72</v>
      </c>
      <c r="E23" s="48" t="s">
        <v>160</v>
      </c>
      <c r="F23" s="48" t="s">
        <v>161</v>
      </c>
      <c r="G23" s="42"/>
    </row>
    <row r="24" spans="1:7" ht="51" customHeight="1">
      <c r="A24" s="45" t="str">
        <f>VLOOKUP(B24,기준값설정!$D$2:$E$22,2,FALSE)</f>
        <v>AX</v>
      </c>
      <c r="B24" s="35" t="s">
        <v>75</v>
      </c>
      <c r="C24" s="35" t="s">
        <v>76</v>
      </c>
      <c r="D24" s="45" t="str">
        <f>VLOOKUP(C24,기준값설정!$A$2:$B$22,2,FALSE)</f>
        <v>공통2500</v>
      </c>
      <c r="E24" s="46" t="s">
        <v>162</v>
      </c>
      <c r="F24" s="46" t="s">
        <v>163</v>
      </c>
      <c r="G24" s="9"/>
    </row>
    <row r="25" spans="1:7" ht="78" customHeight="1">
      <c r="A25" s="45" t="str">
        <f>VLOOKUP(B25,기준값설정!$D$2:$E$22,2,FALSE)</f>
        <v>AX</v>
      </c>
      <c r="B25" s="35" t="s">
        <v>75</v>
      </c>
      <c r="C25" s="35" t="s">
        <v>76</v>
      </c>
      <c r="D25" s="45" t="str">
        <f>VLOOKUP(C25,기준값설정!$A$2:$B$22,2,FALSE)</f>
        <v>공통2500</v>
      </c>
      <c r="E25" s="46" t="s">
        <v>164</v>
      </c>
      <c r="F25" s="46" t="s">
        <v>165</v>
      </c>
      <c r="G25" s="9"/>
    </row>
    <row r="26" spans="1:7" ht="42">
      <c r="A26" s="45" t="str">
        <f>VLOOKUP(B26,기준값설정!$D$2:$E$22,2,FALSE)</f>
        <v>AX</v>
      </c>
      <c r="B26" s="35" t="s">
        <v>75</v>
      </c>
      <c r="C26" s="35" t="s">
        <v>81</v>
      </c>
      <c r="D26" s="45" t="str">
        <f>VLOOKUP(C26,기준값설정!$A$2:$B$22,2,FALSE)</f>
        <v>과제0026</v>
      </c>
      <c r="E26" s="46" t="s">
        <v>166</v>
      </c>
      <c r="F26" s="46" t="s">
        <v>167</v>
      </c>
      <c r="G26" s="9"/>
    </row>
    <row r="27" spans="1:7" ht="42">
      <c r="A27" s="23" t="str">
        <f>VLOOKUP(B27,기준값설정!$D$2:$E$22,2,FALSE)</f>
        <v>AX</v>
      </c>
      <c r="B27" s="17" t="s">
        <v>75</v>
      </c>
      <c r="C27" s="17" t="s">
        <v>81</v>
      </c>
      <c r="D27" s="23" t="str">
        <f>VLOOKUP(C27,기준값설정!$A$2:$B$22,2,FALSE)</f>
        <v>과제0026</v>
      </c>
      <c r="E27" s="32" t="s">
        <v>168</v>
      </c>
      <c r="F27" s="32" t="s">
        <v>169</v>
      </c>
      <c r="G27" s="9"/>
    </row>
    <row r="28" spans="1:7" ht="40.5">
      <c r="A28" s="23" t="str">
        <f>VLOOKUP(B28,기준값설정!$D$2:$E$22,2,FALSE)</f>
        <v>AX</v>
      </c>
      <c r="B28" s="17" t="s">
        <v>75</v>
      </c>
      <c r="C28" s="17" t="s">
        <v>33</v>
      </c>
      <c r="D28" s="23" t="str">
        <f>VLOOKUP(C28,기준값설정!$A$2:$B$22,2,FALSE)</f>
        <v>과제0027</v>
      </c>
      <c r="E28" s="32" t="s">
        <v>170</v>
      </c>
      <c r="F28" s="32" t="s">
        <v>171</v>
      </c>
      <c r="G28" s="9"/>
    </row>
    <row r="29" spans="1:7" ht="97.5" customHeight="1">
      <c r="A29" s="23" t="str">
        <f>VLOOKUP(B29,기준값설정!$D$2:$E$22,2,FALSE)</f>
        <v>AX</v>
      </c>
      <c r="B29" s="17" t="s">
        <v>89</v>
      </c>
      <c r="C29" s="17" t="s">
        <v>33</v>
      </c>
      <c r="D29" s="23" t="str">
        <f>VLOOKUP(C29,기준값설정!$A$2:$B$22,2,FALSE)</f>
        <v>과제0027</v>
      </c>
      <c r="E29" s="32" t="s">
        <v>172</v>
      </c>
      <c r="F29" s="32" t="s">
        <v>91</v>
      </c>
      <c r="G29" s="9"/>
    </row>
    <row r="30" spans="1:7" ht="84" customHeight="1">
      <c r="A30" s="23" t="str">
        <f>VLOOKUP(B30,기준값설정!$D$2:$E$22,2,FALSE)</f>
        <v>AX</v>
      </c>
      <c r="B30" s="17" t="s">
        <v>89</v>
      </c>
      <c r="C30" s="17" t="s">
        <v>33</v>
      </c>
      <c r="D30" s="23" t="str">
        <f>VLOOKUP(C30,기준값설정!$A$2:$B$22,2,FALSE)</f>
        <v>과제0027</v>
      </c>
      <c r="E30" s="32" t="s">
        <v>173</v>
      </c>
      <c r="F30" s="32" t="s">
        <v>93</v>
      </c>
      <c r="G30" s="9"/>
    </row>
    <row r="31" spans="1:7" ht="78" customHeight="1">
      <c r="A31" s="23" t="str">
        <f>VLOOKUP(B31,기준값설정!$D$2:$E$22,2,FALSE)</f>
        <v>AX</v>
      </c>
      <c r="B31" s="17" t="s">
        <v>89</v>
      </c>
      <c r="C31" s="17" t="s">
        <v>33</v>
      </c>
      <c r="D31" s="23" t="str">
        <f>VLOOKUP(C31,기준값설정!$A$2:$B$22,2,FALSE)</f>
        <v>과제0027</v>
      </c>
      <c r="E31" s="32" t="s">
        <v>174</v>
      </c>
      <c r="F31" s="32" t="s">
        <v>175</v>
      </c>
      <c r="G31" s="9"/>
    </row>
    <row r="32" spans="1:7" ht="90.75" customHeight="1">
      <c r="A32" s="23" t="str">
        <f>VLOOKUP(B32,기준값설정!$D$2:$E$22,2,FALSE)</f>
        <v>AX</v>
      </c>
      <c r="B32" s="17" t="s">
        <v>89</v>
      </c>
      <c r="C32" s="17" t="s">
        <v>33</v>
      </c>
      <c r="D32" s="23" t="str">
        <f>VLOOKUP(C32,기준값설정!$A$2:$B$22,2,FALSE)</f>
        <v>과제0027</v>
      </c>
      <c r="E32" s="32" t="s">
        <v>176</v>
      </c>
      <c r="F32" s="32" t="s">
        <v>177</v>
      </c>
      <c r="G32" s="9"/>
    </row>
    <row r="33" spans="1:7" ht="41.25">
      <c r="A33" s="23" t="str">
        <f>VLOOKUP(B33,기준값설정!$D$2:$E$22,2,FALSE)</f>
        <v>AX</v>
      </c>
      <c r="B33" s="17" t="s">
        <v>89</v>
      </c>
      <c r="C33" s="17" t="s">
        <v>81</v>
      </c>
      <c r="D33" s="23" t="str">
        <f>VLOOKUP(C33,기준값설정!$A$2:$B$22,2,FALSE)</f>
        <v>과제0026</v>
      </c>
      <c r="E33" s="32" t="s">
        <v>178</v>
      </c>
      <c r="F33" s="32"/>
      <c r="G33" s="9" t="s">
        <v>104</v>
      </c>
    </row>
    <row r="34" spans="1:7" ht="84.75">
      <c r="A34" s="23" t="str">
        <f>VLOOKUP(B34,기준값설정!$D$2:$E$22,2,FALSE)</f>
        <v>AX</v>
      </c>
      <c r="B34" s="17" t="s">
        <v>105</v>
      </c>
      <c r="C34" s="17" t="s">
        <v>33</v>
      </c>
      <c r="D34" s="23" t="str">
        <f>VLOOKUP(C34,기준값설정!$A$2:$B$22,2,FALSE)</f>
        <v>과제0027</v>
      </c>
      <c r="E34" s="32" t="s">
        <v>179</v>
      </c>
      <c r="F34" s="32" t="s">
        <v>180</v>
      </c>
      <c r="G34" s="9"/>
    </row>
    <row r="35" spans="1:7" ht="28.5">
      <c r="A35" s="23" t="str">
        <f>VLOOKUP(B35,기준값설정!$D$2:$E$22,2,FALSE)</f>
        <v>AX</v>
      </c>
      <c r="B35" s="17" t="s">
        <v>105</v>
      </c>
      <c r="C35" s="17" t="s">
        <v>33</v>
      </c>
      <c r="D35" s="23" t="str">
        <f>VLOOKUP(C35,기준값설정!$A$2:$B$22,2,FALSE)</f>
        <v>과제0027</v>
      </c>
      <c r="E35" s="32" t="s">
        <v>181</v>
      </c>
      <c r="F35" s="32" t="s">
        <v>181</v>
      </c>
      <c r="G35" s="9" t="s">
        <v>110</v>
      </c>
    </row>
    <row r="36" spans="1:7" ht="80.25" customHeight="1">
      <c r="A36" s="23" t="str">
        <f>VLOOKUP(B36,기준값설정!$D$2:$E$22,2,FALSE)</f>
        <v>AX</v>
      </c>
      <c r="B36" s="17" t="s">
        <v>111</v>
      </c>
      <c r="C36" s="17" t="s">
        <v>33</v>
      </c>
      <c r="D36" s="23" t="str">
        <f>VLOOKUP(C36,기준값설정!$A$2:$B$22,2,FALSE)</f>
        <v>과제0027</v>
      </c>
      <c r="E36" s="32" t="s">
        <v>182</v>
      </c>
      <c r="F36" s="32" t="s">
        <v>183</v>
      </c>
      <c r="G36" s="9"/>
    </row>
    <row r="37" spans="1:7" ht="72.75" customHeight="1">
      <c r="A37" s="23" t="str">
        <f>VLOOKUP(B37,기준값설정!$D$2:$E$22,2,FALSE)</f>
        <v>AX</v>
      </c>
      <c r="B37" s="17" t="s">
        <v>111</v>
      </c>
      <c r="C37" s="17" t="s">
        <v>33</v>
      </c>
      <c r="D37" s="23" t="str">
        <f>VLOOKUP(C37,기준값설정!$A$2:$B$22,2,FALSE)</f>
        <v>과제0027</v>
      </c>
      <c r="E37" s="32" t="s">
        <v>184</v>
      </c>
      <c r="F37" s="32" t="s">
        <v>185</v>
      </c>
      <c r="G37" s="11" t="s">
        <v>116</v>
      </c>
    </row>
    <row r="38" spans="1:7" ht="50.25" customHeight="1">
      <c r="A38" s="23" t="str">
        <f>VLOOKUP(B38,기준값설정!$D$2:$E$22,2,FALSE)</f>
        <v>AX</v>
      </c>
      <c r="B38" s="17" t="s">
        <v>111</v>
      </c>
      <c r="C38" s="17" t="s">
        <v>81</v>
      </c>
      <c r="D38" s="23" t="str">
        <f>VLOOKUP(C38,기준값설정!$A$2:$B$22,2,FALSE)</f>
        <v>과제0026</v>
      </c>
      <c r="E38" s="32" t="s">
        <v>186</v>
      </c>
      <c r="F38" s="32" t="s">
        <v>118</v>
      </c>
      <c r="G38" s="11" t="s">
        <v>119</v>
      </c>
    </row>
    <row r="39" spans="1:7" ht="54.75">
      <c r="A39" s="23" t="str">
        <f>VLOOKUP(B39,기준값설정!$D$2:$E$22,2,FALSE)</f>
        <v>AX</v>
      </c>
      <c r="B39" s="17" t="s">
        <v>120</v>
      </c>
      <c r="C39" s="17" t="s">
        <v>33</v>
      </c>
      <c r="D39" s="23" t="str">
        <f>VLOOKUP(C39,기준값설정!$A$2:$B$22,2,FALSE)</f>
        <v>과제0027</v>
      </c>
      <c r="E39" s="32" t="s">
        <v>187</v>
      </c>
      <c r="F39" s="32" t="s">
        <v>188</v>
      </c>
      <c r="G39" s="9"/>
    </row>
    <row r="40" spans="1:7">
      <c r="A40" s="23" t="e">
        <f>VLOOKUP(B40,기준값설정!$D$2:$E$22,2,FALSE)</f>
        <v>#N/A</v>
      </c>
      <c r="B40" s="17"/>
      <c r="C40" s="17"/>
      <c r="D40" s="23" t="e">
        <f>VLOOKUP(C40,기준값설정!$A$2:$B$22,2,FALSE)</f>
        <v>#N/A</v>
      </c>
      <c r="E40" s="32"/>
      <c r="F40" s="32"/>
      <c r="G40" s="9"/>
    </row>
    <row r="41" spans="1:7">
      <c r="A41" s="23" t="e">
        <f>VLOOKUP(B41,기준값설정!$D$2:$E$22,2,FALSE)</f>
        <v>#N/A</v>
      </c>
      <c r="B41" s="17"/>
      <c r="C41" s="17"/>
      <c r="D41" s="23" t="e">
        <f>VLOOKUP(C41,기준값설정!$A$2:$B$22,2,FALSE)</f>
        <v>#N/A</v>
      </c>
      <c r="E41" s="32"/>
      <c r="F41" s="32"/>
      <c r="G41" s="9"/>
    </row>
  </sheetData>
  <autoFilter ref="A1:G19" xr:uid="{9DBC3B80-500C-48FD-B076-E7B32AF46C2F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34AF650-A6F8-4FA6-8BD6-82724D2EA53F}">
          <x14:formula1>
            <xm:f>기준값설정!$D$2:$D$22</xm:f>
          </x14:formula1>
          <xm:sqref>B24:B41 B2:B16</xm:sqref>
        </x14:dataValidation>
        <x14:dataValidation type="list" allowBlank="1" showInputMessage="1" showErrorMessage="1" xr:uid="{8EF1DFEA-CA99-4AB0-955A-4A3E33EB8020}">
          <x14:formula1>
            <xm:f>기준값설정!$A$2:$A$22</xm:f>
          </x14:formula1>
          <xm:sqref>C24:C41 C2:C16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03A6-3402-48D7-AC41-8BCC400A5D64}">
  <dimension ref="A1:G33"/>
  <sheetViews>
    <sheetView zoomScale="115" zoomScaleNormal="115" workbookViewId="0">
      <pane ySplit="1" topLeftCell="A2" activePane="bottomLeft" state="frozen"/>
      <selection pane="bottomLeft" activeCell="E2" sqref="E2:F10"/>
    </sheetView>
  </sheetViews>
  <sheetFormatPr defaultRowHeight="16.5"/>
  <cols>
    <col min="1" max="2" width="12.375" style="14" customWidth="1"/>
    <col min="3" max="4" width="17.75" style="14" customWidth="1"/>
    <col min="5" max="6" width="54.875" style="13" customWidth="1"/>
    <col min="7" max="7" width="40.625" style="14" customWidth="1"/>
  </cols>
  <sheetData>
    <row r="1" spans="1:7">
      <c r="A1" s="16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5" t="s">
        <v>5</v>
      </c>
      <c r="G1" s="15" t="s">
        <v>6</v>
      </c>
    </row>
    <row r="2" spans="1:7" s="14" customFormat="1" ht="99">
      <c r="A2" s="23" t="str">
        <f>VLOOKUP(B2,기준값설정!$D$2:$E$22,2,FALSE)</f>
        <v>DX</v>
      </c>
      <c r="B2" s="17" t="s">
        <v>7</v>
      </c>
      <c r="C2" s="17" t="s">
        <v>8</v>
      </c>
      <c r="D2" s="21" t="str">
        <f>VLOOKUP(C2,기준값설정!$A$2:$B$22,2,FALSE)</f>
        <v>공통2500</v>
      </c>
      <c r="E2" s="19" t="s">
        <v>189</v>
      </c>
      <c r="F2" s="19" t="s">
        <v>190</v>
      </c>
      <c r="G2" s="29" t="s">
        <v>191</v>
      </c>
    </row>
    <row r="3" spans="1:7" s="14" customFormat="1" ht="99">
      <c r="A3" s="23" t="str">
        <f>VLOOKUP(B3,기준값설정!$D$2:$E$22,2,FALSE)</f>
        <v>DX</v>
      </c>
      <c r="B3" s="17" t="s">
        <v>7</v>
      </c>
      <c r="C3" s="17" t="s">
        <v>8</v>
      </c>
      <c r="D3" s="21" t="str">
        <f>VLOOKUP(C3,기준값설정!$A$2:$B$22,2,FALSE)</f>
        <v>공통2500</v>
      </c>
      <c r="E3" s="19" t="s">
        <v>192</v>
      </c>
      <c r="F3" s="19" t="s">
        <v>193</v>
      </c>
      <c r="G3" s="31" t="s">
        <v>194</v>
      </c>
    </row>
    <row r="4" spans="1:7" s="14" customFormat="1" ht="56.25">
      <c r="A4" s="23" t="str">
        <f>VLOOKUP(B4,기준값설정!$D$2:$E$22,2,FALSE)</f>
        <v>DX</v>
      </c>
      <c r="B4" s="17" t="s">
        <v>7</v>
      </c>
      <c r="C4" s="17" t="s">
        <v>8</v>
      </c>
      <c r="D4" s="23" t="str">
        <f>VLOOKUP(C4,기준값설정!$A$2:$B$22,2,FALSE)</f>
        <v>공통2500</v>
      </c>
      <c r="E4" s="19" t="s">
        <v>195</v>
      </c>
      <c r="F4" s="19" t="s">
        <v>196</v>
      </c>
      <c r="G4" s="28"/>
    </row>
    <row r="5" spans="1:7" s="14" customFormat="1" ht="42">
      <c r="A5" s="23" t="str">
        <f>VLOOKUP(B5,기준값설정!$D$2:$E$22,2,FALSE)</f>
        <v>DX</v>
      </c>
      <c r="B5" s="17" t="s">
        <v>7</v>
      </c>
      <c r="C5" s="17" t="s">
        <v>24</v>
      </c>
      <c r="D5" s="21" t="str">
        <f>VLOOKUP(C5,기준값설정!$A$2:$B$22,2,FALSE)</f>
        <v>과제0023</v>
      </c>
      <c r="E5" s="19" t="s">
        <v>197</v>
      </c>
      <c r="F5" s="19" t="s">
        <v>129</v>
      </c>
      <c r="G5" s="19" t="s">
        <v>198</v>
      </c>
    </row>
    <row r="6" spans="1:7" s="14" customFormat="1" ht="28.5">
      <c r="A6" s="23" t="str">
        <f>VLOOKUP(B6,기준값설정!$D$2:$E$22,2,FALSE)</f>
        <v>DX</v>
      </c>
      <c r="B6" s="17" t="s">
        <v>7</v>
      </c>
      <c r="C6" s="17" t="s">
        <v>24</v>
      </c>
      <c r="D6" s="21" t="str">
        <f>VLOOKUP(C6,기준값설정!$A$2:$B$22,2,FALSE)</f>
        <v>과제0023</v>
      </c>
      <c r="E6" s="19"/>
      <c r="F6" s="19" t="s">
        <v>130</v>
      </c>
      <c r="G6" s="30" t="s">
        <v>199</v>
      </c>
    </row>
    <row r="7" spans="1:7" s="14" customFormat="1" ht="28.5">
      <c r="A7" s="23" t="str">
        <f>VLOOKUP(B7,기준값설정!$D$2:$E$22,2,FALSE)</f>
        <v>DX</v>
      </c>
      <c r="B7" s="17" t="s">
        <v>7</v>
      </c>
      <c r="C7" s="17" t="s">
        <v>43</v>
      </c>
      <c r="D7" s="21" t="str">
        <f>VLOOKUP(C7,기준값설정!$A$2:$B$22,2,FALSE)</f>
        <v>과제0013</v>
      </c>
      <c r="E7" s="19" t="s">
        <v>200</v>
      </c>
      <c r="F7" s="19"/>
      <c r="G7" s="28"/>
    </row>
    <row r="8" spans="1:7" s="14" customFormat="1" ht="28.5">
      <c r="A8" s="23" t="str">
        <f>VLOOKUP(B8,기준값설정!$D$2:$E$22,2,FALSE)</f>
        <v>DX</v>
      </c>
      <c r="B8" s="17" t="s">
        <v>7</v>
      </c>
      <c r="C8" s="17" t="s">
        <v>68</v>
      </c>
      <c r="D8" s="21" t="str">
        <f>VLOOKUP(C8,기준값설정!$A$2:$B$22,2,FALSE)</f>
        <v>과제0014</v>
      </c>
      <c r="E8" s="19" t="s">
        <v>200</v>
      </c>
      <c r="F8" s="19"/>
      <c r="G8" s="28"/>
    </row>
    <row r="9" spans="1:7" s="14" customFormat="1" ht="42">
      <c r="A9" s="23" t="str">
        <f>VLOOKUP(B9,기준값설정!$D$2:$E$22,2,FALSE)</f>
        <v>DX</v>
      </c>
      <c r="B9" s="17" t="s">
        <v>7</v>
      </c>
      <c r="C9" s="17" t="s">
        <v>29</v>
      </c>
      <c r="D9" s="21" t="str">
        <f>VLOOKUP(C9,기준값설정!$A$2:$B$22,2,FALSE)</f>
        <v>과제0024</v>
      </c>
      <c r="E9" s="19" t="s">
        <v>132</v>
      </c>
      <c r="F9" s="19" t="s">
        <v>201</v>
      </c>
      <c r="G9" s="28"/>
    </row>
    <row r="10" spans="1:7" s="14" customFormat="1" ht="28.5">
      <c r="A10" s="23" t="str">
        <f>VLOOKUP(B10,기준값설정!$D$2:$E$22,2,FALSE)</f>
        <v>DX</v>
      </c>
      <c r="B10" s="17" t="s">
        <v>7</v>
      </c>
      <c r="C10" s="17" t="s">
        <v>29</v>
      </c>
      <c r="D10" s="23" t="str">
        <f>VLOOKUP(C10,기준값설정!$A$2:$B$22,2,FALSE)</f>
        <v>과제0024</v>
      </c>
      <c r="E10" s="19" t="s">
        <v>202</v>
      </c>
      <c r="F10" s="32" t="s">
        <v>203</v>
      </c>
      <c r="G10" s="6"/>
    </row>
    <row r="11" spans="1:7" s="14" customFormat="1" ht="54.75">
      <c r="A11" s="23" t="str">
        <f>VLOOKUP(B11,기준값설정!$D$2:$E$22,2,FALSE)</f>
        <v>DX</v>
      </c>
      <c r="B11" s="17" t="s">
        <v>32</v>
      </c>
      <c r="C11" s="17" t="s">
        <v>33</v>
      </c>
      <c r="D11" s="23" t="str">
        <f>VLOOKUP(C11,기준값설정!$A$2:$B$22,2,FALSE)</f>
        <v>과제0027</v>
      </c>
      <c r="E11" s="19" t="s">
        <v>204</v>
      </c>
      <c r="F11" s="19" t="s">
        <v>205</v>
      </c>
      <c r="G11" s="9"/>
    </row>
    <row r="12" spans="1:7" s="14" customFormat="1" ht="56.25">
      <c r="A12" s="23" t="str">
        <f>VLOOKUP(B12,기준값설정!$D$2:$E$22,2,FALSE)</f>
        <v>DX</v>
      </c>
      <c r="B12" s="17" t="s">
        <v>32</v>
      </c>
      <c r="C12" s="17" t="s">
        <v>8</v>
      </c>
      <c r="D12" s="23" t="str">
        <f>VLOOKUP(C12,기준값설정!$A$2:$B$22,2,FALSE)</f>
        <v>공통2500</v>
      </c>
      <c r="E12" s="19" t="s">
        <v>206</v>
      </c>
      <c r="F12" s="19" t="s">
        <v>207</v>
      </c>
      <c r="G12" s="6"/>
    </row>
    <row r="13" spans="1:7" s="14" customFormat="1" ht="40.5">
      <c r="A13" s="23" t="str">
        <f>VLOOKUP(B13,기준값설정!$D$2:$E$22,2,FALSE)</f>
        <v>DX</v>
      </c>
      <c r="B13" s="17" t="s">
        <v>32</v>
      </c>
      <c r="C13" s="17" t="s">
        <v>8</v>
      </c>
      <c r="D13" s="23" t="str">
        <f>VLOOKUP(C13,기준값설정!$A$2:$B$22,2,FALSE)</f>
        <v>공통2500</v>
      </c>
      <c r="E13" s="19" t="s">
        <v>208</v>
      </c>
      <c r="F13" s="19" t="s">
        <v>209</v>
      </c>
      <c r="G13" s="6"/>
    </row>
    <row r="14" spans="1:7" s="14" customFormat="1" ht="42">
      <c r="A14" s="23" t="str">
        <f>VLOOKUP(B14,기준값설정!$D$2:$E$22,2,FALSE)</f>
        <v>DX</v>
      </c>
      <c r="B14" s="17" t="s">
        <v>38</v>
      </c>
      <c r="C14" s="17" t="s">
        <v>210</v>
      </c>
      <c r="D14" s="21" t="str">
        <f>VLOOKUP(C14,기준값설정!$A$2:$B$22,2,FALSE)</f>
        <v>공통2500</v>
      </c>
      <c r="E14" s="19" t="s">
        <v>211</v>
      </c>
      <c r="F14" s="19" t="s">
        <v>212</v>
      </c>
      <c r="G14" s="30"/>
    </row>
    <row r="15" spans="1:7" s="14" customFormat="1" ht="28.5">
      <c r="A15" s="23" t="str">
        <f>VLOOKUP(B15,기준값설정!$D$2:$E$22,2,FALSE)</f>
        <v>DX</v>
      </c>
      <c r="B15" s="17" t="s">
        <v>38</v>
      </c>
      <c r="C15" s="17" t="s">
        <v>43</v>
      </c>
      <c r="D15" s="21" t="str">
        <f>VLOOKUP(C15,기준값설정!$A$2:$B$22,2,FALSE)</f>
        <v>과제0013</v>
      </c>
      <c r="E15" s="19" t="s">
        <v>213</v>
      </c>
      <c r="F15" s="19"/>
      <c r="G15" s="30"/>
    </row>
    <row r="16" spans="1:7" s="14" customFormat="1" ht="42">
      <c r="A16" s="23" t="str">
        <f>VLOOKUP(B16,기준값설정!$D$2:$E$22,2,FALSE)</f>
        <v>DX</v>
      </c>
      <c r="B16" s="17" t="s">
        <v>38</v>
      </c>
      <c r="C16" s="17" t="s">
        <v>43</v>
      </c>
      <c r="D16" s="21" t="str">
        <f>VLOOKUP(C16,기준값설정!$A$2:$B$22,2,FALSE)</f>
        <v>과제0013</v>
      </c>
      <c r="E16" s="19" t="s">
        <v>214</v>
      </c>
      <c r="F16" s="19" t="s">
        <v>215</v>
      </c>
      <c r="G16" s="9"/>
    </row>
    <row r="17" spans="1:7" s="14" customFormat="1" ht="28.5">
      <c r="A17" s="23" t="str">
        <f>VLOOKUP(B17,기준값설정!$D$2:$E$22,2,FALSE)</f>
        <v>DX</v>
      </c>
      <c r="B17" s="17" t="s">
        <v>38</v>
      </c>
      <c r="C17" s="17" t="s">
        <v>68</v>
      </c>
      <c r="D17" s="21" t="str">
        <f>VLOOKUP(C17,기준값설정!$A$2:$B$22,2,FALSE)</f>
        <v>과제0014</v>
      </c>
      <c r="E17" s="19" t="s">
        <v>213</v>
      </c>
      <c r="F17" s="19"/>
      <c r="G17" s="9"/>
    </row>
    <row r="18" spans="1:7" s="14" customFormat="1" ht="42">
      <c r="A18" s="23" t="str">
        <f>VLOOKUP(B18,기준값설정!$D$2:$E$22,2,FALSE)</f>
        <v>DX</v>
      </c>
      <c r="B18" s="17" t="s">
        <v>58</v>
      </c>
      <c r="C18" s="17" t="s">
        <v>68</v>
      </c>
      <c r="D18" s="21" t="str">
        <f>VLOOKUP(C18,기준값설정!$A$2:$B$22,2,FALSE)</f>
        <v>과제0014</v>
      </c>
      <c r="E18" s="32" t="s">
        <v>216</v>
      </c>
      <c r="F18" s="32" t="s">
        <v>217</v>
      </c>
      <c r="G18" s="9"/>
    </row>
    <row r="19" spans="1:7" ht="56.25">
      <c r="A19" s="23" t="str">
        <f>VLOOKUP(B19,기준값설정!$D$2:$E$22,2,FALSE)</f>
        <v>DX</v>
      </c>
      <c r="B19" s="17" t="s">
        <v>58</v>
      </c>
      <c r="C19" s="17" t="s">
        <v>8</v>
      </c>
      <c r="D19" s="21" t="str">
        <f>VLOOKUP(C19,기준값설정!$A$2:$B$22,2,FALSE)</f>
        <v>공통2500</v>
      </c>
      <c r="E19" s="32" t="s">
        <v>218</v>
      </c>
      <c r="F19" s="32" t="s">
        <v>219</v>
      </c>
      <c r="G19" s="6"/>
    </row>
    <row r="20" spans="1:7" ht="42">
      <c r="A20" s="23" t="str">
        <f>VLOOKUP(B20,기준값설정!$D$2:$E$22,2,FALSE)</f>
        <v>DX</v>
      </c>
      <c r="B20" s="17" t="s">
        <v>58</v>
      </c>
      <c r="C20" s="17" t="s">
        <v>29</v>
      </c>
      <c r="D20" s="23" t="str">
        <f>VLOOKUP(C20,기준값설정!$A$2:$B$22,2,FALSE)</f>
        <v>과제0024</v>
      </c>
      <c r="E20" s="32" t="s">
        <v>220</v>
      </c>
      <c r="F20" s="32" t="s">
        <v>221</v>
      </c>
      <c r="G20" s="6"/>
    </row>
    <row r="21" spans="1:7" ht="28.5">
      <c r="A21" s="23" t="str">
        <f>VLOOKUP(B21,기준값설정!$D$2:$E$22,2,FALSE)</f>
        <v>DX</v>
      </c>
      <c r="B21" s="17" t="s">
        <v>58</v>
      </c>
      <c r="C21" s="17" t="s">
        <v>29</v>
      </c>
      <c r="D21" s="23" t="str">
        <f>VLOOKUP(C21,기준값설정!$A$2:$B$22,2,FALSE)</f>
        <v>과제0024</v>
      </c>
      <c r="E21" s="32" t="s">
        <v>222</v>
      </c>
      <c r="F21" s="32" t="s">
        <v>223</v>
      </c>
      <c r="G21" s="6"/>
    </row>
    <row r="22" spans="1:7">
      <c r="A22" s="23" t="e">
        <f>VLOOKUP(B22,기준값설정!$D$2:$E$22,2,FALSE)</f>
        <v>#N/A</v>
      </c>
      <c r="B22" s="17"/>
      <c r="C22" s="17"/>
      <c r="D22" s="21" t="e">
        <f>VLOOKUP(C22,기준값설정!$A$2:$B$22,2,FALSE)</f>
        <v>#N/A</v>
      </c>
      <c r="E22" s="19"/>
      <c r="F22" s="19"/>
      <c r="G22" s="9"/>
    </row>
    <row r="23" spans="1:7">
      <c r="A23" s="23" t="e">
        <f>VLOOKUP(B23,기준값설정!$D$2:$E$22,2,FALSE)</f>
        <v>#N/A</v>
      </c>
      <c r="B23" s="17"/>
      <c r="C23" s="17"/>
      <c r="D23" s="21" t="e">
        <f>VLOOKUP(C23,기준값설정!$A$2:$B$22,2,FALSE)</f>
        <v>#N/A</v>
      </c>
      <c r="E23" s="19"/>
      <c r="F23" s="19"/>
      <c r="G23" s="9"/>
    </row>
    <row r="24" spans="1:7">
      <c r="A24" s="23" t="e">
        <f>VLOOKUP(B24,기준값설정!$D$2:$E$22,2,FALSE)</f>
        <v>#N/A</v>
      </c>
      <c r="B24" s="17"/>
      <c r="C24" s="17"/>
      <c r="D24" s="21" t="e">
        <f>VLOOKUP(C24,기준값설정!$A$2:$B$22,2,FALSE)</f>
        <v>#N/A</v>
      </c>
      <c r="E24" s="19"/>
      <c r="F24" s="19"/>
      <c r="G24" s="9"/>
    </row>
    <row r="25" spans="1:7">
      <c r="A25" s="23" t="e">
        <f>VLOOKUP(B25,기준값설정!$D$2:$E$22,2,FALSE)</f>
        <v>#N/A</v>
      </c>
      <c r="B25" s="17"/>
      <c r="C25" s="17"/>
      <c r="D25" s="21" t="e">
        <f>VLOOKUP(C25,기준값설정!$A$2:$B$22,2,FALSE)</f>
        <v>#N/A</v>
      </c>
      <c r="E25" s="19"/>
      <c r="F25" s="19"/>
      <c r="G25" s="9"/>
    </row>
    <row r="26" spans="1:7">
      <c r="A26" s="23" t="e">
        <f>VLOOKUP(B26,기준값설정!$D$2:$E$22,2,FALSE)</f>
        <v>#N/A</v>
      </c>
      <c r="B26" s="17"/>
      <c r="C26" s="17"/>
      <c r="D26" s="21" t="e">
        <f>VLOOKUP(C26,기준값설정!$A$2:$B$22,2,FALSE)</f>
        <v>#N/A</v>
      </c>
      <c r="E26" s="19"/>
      <c r="F26" s="19"/>
      <c r="G26" s="9"/>
    </row>
    <row r="27" spans="1:7">
      <c r="A27" s="23" t="e">
        <f>VLOOKUP(B27,기준값설정!$D$2:$E$22,2,FALSE)</f>
        <v>#N/A</v>
      </c>
      <c r="B27" s="17"/>
      <c r="C27" s="17"/>
      <c r="D27" s="21" t="e">
        <f>VLOOKUP(C27,기준값설정!$A$2:$B$22,2,FALSE)</f>
        <v>#N/A</v>
      </c>
      <c r="E27" s="19"/>
      <c r="F27" s="19"/>
      <c r="G27" s="9"/>
    </row>
    <row r="28" spans="1:7">
      <c r="A28" s="23" t="e">
        <f>VLOOKUP(B28,기준값설정!$D$2:$E$22,2,FALSE)</f>
        <v>#N/A</v>
      </c>
      <c r="B28" s="17"/>
      <c r="C28" s="17"/>
      <c r="D28" s="21" t="e">
        <f>VLOOKUP(C28,기준값설정!$A$2:$B$22,2,FALSE)</f>
        <v>#N/A</v>
      </c>
      <c r="E28" s="19"/>
      <c r="F28" s="19"/>
      <c r="G28" s="9"/>
    </row>
    <row r="29" spans="1:7">
      <c r="A29" s="23" t="e">
        <f>VLOOKUP(B29,기준값설정!$D$2:$E$22,2,FALSE)</f>
        <v>#N/A</v>
      </c>
      <c r="B29" s="17"/>
      <c r="C29" s="17"/>
      <c r="D29" s="21" t="e">
        <f>VLOOKUP(C29,기준값설정!$A$2:$B$22,2,FALSE)</f>
        <v>#N/A</v>
      </c>
      <c r="E29" s="19"/>
      <c r="F29" s="19"/>
      <c r="G29" s="9"/>
    </row>
    <row r="30" spans="1:7">
      <c r="A30" s="23" t="e">
        <f>VLOOKUP(B30,기준값설정!$D$2:$E$22,2,FALSE)</f>
        <v>#N/A</v>
      </c>
      <c r="B30" s="17"/>
      <c r="C30" s="17"/>
      <c r="D30" s="21" t="e">
        <f>VLOOKUP(C30,기준값설정!$A$2:$B$22,2,FALSE)</f>
        <v>#N/A</v>
      </c>
      <c r="E30" s="19"/>
      <c r="F30" s="19"/>
      <c r="G30" s="9"/>
    </row>
    <row r="31" spans="1:7">
      <c r="A31" s="23" t="e">
        <f>VLOOKUP(B31,기준값설정!$D$2:$E$22,2,FALSE)</f>
        <v>#N/A</v>
      </c>
      <c r="B31" s="17"/>
      <c r="C31" s="17"/>
      <c r="D31" s="21" t="e">
        <f>VLOOKUP(C31,기준값설정!$A$2:$B$22,2,FALSE)</f>
        <v>#N/A</v>
      </c>
      <c r="E31" s="19"/>
      <c r="F31" s="19"/>
      <c r="G31" s="9"/>
    </row>
    <row r="32" spans="1:7">
      <c r="A32" s="23" t="e">
        <f>VLOOKUP(B32,기준값설정!$D$2:$E$22,2,FALSE)</f>
        <v>#N/A</v>
      </c>
      <c r="B32" s="17"/>
      <c r="C32" s="17"/>
      <c r="D32" s="21" t="e">
        <f>VLOOKUP(C32,기준값설정!$A$2:$B$22,2,FALSE)</f>
        <v>#N/A</v>
      </c>
      <c r="E32" s="19"/>
      <c r="F32" s="19"/>
      <c r="G32" s="9"/>
    </row>
    <row r="33" spans="1:7">
      <c r="A33" s="23" t="e">
        <f>VLOOKUP(B33,기준값설정!$D$2:$E$22,2,FALSE)</f>
        <v>#N/A</v>
      </c>
      <c r="B33" s="17"/>
      <c r="C33" s="17"/>
      <c r="D33" s="21" t="e">
        <f>VLOOKUP(C33,기준값설정!$A$2:$B$22,2,FALSE)</f>
        <v>#N/A</v>
      </c>
      <c r="E33" s="19"/>
      <c r="F33" s="19"/>
      <c r="G33" s="9"/>
    </row>
  </sheetData>
  <autoFilter ref="A1:G20" xr:uid="{9DBC3B80-500C-48FD-B076-E7B32AF46C2F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1CD4B2A-3ED2-42DA-89C0-30E8DBA05F1C}">
          <x14:formula1>
            <xm:f>기준값설정!$A$2:$A$22</xm:f>
          </x14:formula1>
          <xm:sqref>C2:C33</xm:sqref>
        </x14:dataValidation>
        <x14:dataValidation type="list" allowBlank="1" showInputMessage="1" showErrorMessage="1" xr:uid="{A920E6D6-7212-4D38-B0C3-35B05725E18E}">
          <x14:formula1>
            <xm:f>기준값설정!$D$2:$D$22</xm:f>
          </x14:formula1>
          <xm:sqref>B2:B33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BC50-BCC0-4FA0-A5D1-A07AF10A4905}">
  <dimension ref="A1:E29"/>
  <sheetViews>
    <sheetView zoomScale="115" zoomScaleNormal="115" workbookViewId="0">
      <pane ySplit="1" topLeftCell="A2" activePane="bottomLeft" state="frozen"/>
      <selection pane="bottomLeft" activeCell="O1" sqref="O1"/>
    </sheetView>
  </sheetViews>
  <sheetFormatPr defaultRowHeight="16.5"/>
  <cols>
    <col min="1" max="2" width="17.75" style="14" customWidth="1"/>
    <col min="3" max="4" width="54.875" style="13" customWidth="1"/>
    <col min="5" max="5" width="40.625" style="14" customWidth="1"/>
  </cols>
  <sheetData>
    <row r="1" spans="1:5">
      <c r="A1" s="15" t="s">
        <v>2</v>
      </c>
      <c r="B1" s="16" t="s">
        <v>3</v>
      </c>
      <c r="C1" s="15" t="s">
        <v>4</v>
      </c>
      <c r="D1" s="15" t="s">
        <v>5</v>
      </c>
      <c r="E1" s="15" t="s">
        <v>6</v>
      </c>
    </row>
    <row r="2" spans="1:5" s="14" customFormat="1" ht="112.5" customHeight="1">
      <c r="A2" s="59" t="s">
        <v>8</v>
      </c>
      <c r="B2" s="57" t="str">
        <f>VLOOKUP(A2,기준값설정!$A$2:$B$22,2,FALSE)</f>
        <v>공통2500</v>
      </c>
      <c r="C2" s="19" t="s">
        <v>224</v>
      </c>
      <c r="D2" s="19" t="s">
        <v>10</v>
      </c>
      <c r="E2" s="28" t="s">
        <v>225</v>
      </c>
    </row>
    <row r="3" spans="1:5" s="14" customFormat="1" ht="99">
      <c r="A3" s="61"/>
      <c r="B3" s="62"/>
      <c r="C3" s="19" t="s">
        <v>226</v>
      </c>
      <c r="D3" s="19" t="s">
        <v>227</v>
      </c>
      <c r="E3" s="33" t="s">
        <v>228</v>
      </c>
    </row>
    <row r="4" spans="1:5" s="14" customFormat="1" ht="56.25">
      <c r="A4" s="61"/>
      <c r="B4" s="62"/>
      <c r="C4" s="19" t="s">
        <v>229</v>
      </c>
      <c r="D4" s="19" t="s">
        <v>230</v>
      </c>
      <c r="E4" s="28" t="s">
        <v>231</v>
      </c>
    </row>
    <row r="5" spans="1:5" s="14" customFormat="1" ht="42">
      <c r="A5" s="61"/>
      <c r="B5" s="62"/>
      <c r="C5" s="19" t="s">
        <v>232</v>
      </c>
      <c r="D5" s="19" t="s">
        <v>207</v>
      </c>
      <c r="E5" s="6"/>
    </row>
    <row r="6" spans="1:5" s="14" customFormat="1" ht="28.5">
      <c r="A6" s="61"/>
      <c r="B6" s="62"/>
      <c r="C6" s="19" t="s">
        <v>233</v>
      </c>
      <c r="D6" s="19" t="s">
        <v>209</v>
      </c>
      <c r="E6" s="28" t="s">
        <v>231</v>
      </c>
    </row>
    <row r="7" spans="1:5" s="14" customFormat="1" ht="56.25">
      <c r="A7" s="60"/>
      <c r="B7" s="58"/>
      <c r="C7" s="32" t="s">
        <v>218</v>
      </c>
      <c r="D7" s="32" t="s">
        <v>219</v>
      </c>
      <c r="E7" s="6"/>
    </row>
    <row r="8" spans="1:5" s="14" customFormat="1" ht="42">
      <c r="A8" s="17" t="s">
        <v>210</v>
      </c>
      <c r="B8" s="21" t="str">
        <f>VLOOKUP(A8,기준값설정!$A$2:$B$22,2,FALSE)</f>
        <v>공통2500</v>
      </c>
      <c r="C8" s="19" t="s">
        <v>211</v>
      </c>
      <c r="D8" s="19" t="s">
        <v>212</v>
      </c>
      <c r="E8" s="30"/>
    </row>
    <row r="9" spans="1:5" s="14" customFormat="1" ht="28.5">
      <c r="A9" s="59" t="s">
        <v>43</v>
      </c>
      <c r="B9" s="57" t="str">
        <f>VLOOKUP(A9,기준값설정!$A$2:$B$22,2,FALSE)</f>
        <v>과제0013</v>
      </c>
      <c r="C9" s="19" t="s">
        <v>200</v>
      </c>
      <c r="D9" s="19"/>
      <c r="E9" s="28"/>
    </row>
    <row r="10" spans="1:5" s="14" customFormat="1" ht="42">
      <c r="A10" s="60"/>
      <c r="B10" s="58"/>
      <c r="C10" s="19" t="s">
        <v>214</v>
      </c>
      <c r="D10" s="19" t="s">
        <v>215</v>
      </c>
      <c r="E10" s="9"/>
    </row>
    <row r="11" spans="1:5" s="14" customFormat="1" ht="28.5">
      <c r="A11" s="59" t="s">
        <v>68</v>
      </c>
      <c r="B11" s="57" t="str">
        <f>VLOOKUP(A11,기준값설정!$A$2:$B$22,2,FALSE)</f>
        <v>과제0014</v>
      </c>
      <c r="C11" s="19" t="s">
        <v>200</v>
      </c>
      <c r="D11" s="19"/>
      <c r="E11" s="28"/>
    </row>
    <row r="12" spans="1:5" s="14" customFormat="1" ht="42">
      <c r="A12" s="60"/>
      <c r="B12" s="58"/>
      <c r="C12" s="32" t="s">
        <v>216</v>
      </c>
      <c r="D12" s="32" t="s">
        <v>217</v>
      </c>
      <c r="E12" s="29" t="s">
        <v>234</v>
      </c>
    </row>
    <row r="13" spans="1:5" s="14" customFormat="1" ht="42">
      <c r="A13" s="59" t="s">
        <v>24</v>
      </c>
      <c r="B13" s="57" t="str">
        <f>VLOOKUP(A13,기준값설정!$A$2:$B$22,2,FALSE)</f>
        <v>과제0023</v>
      </c>
      <c r="C13" s="19" t="s">
        <v>197</v>
      </c>
      <c r="D13" s="19" t="s">
        <v>129</v>
      </c>
      <c r="E13" s="28" t="s">
        <v>235</v>
      </c>
    </row>
    <row r="14" spans="1:5" s="14" customFormat="1" ht="28.5">
      <c r="A14" s="60"/>
      <c r="B14" s="58"/>
      <c r="C14" s="19"/>
      <c r="D14" s="19" t="s">
        <v>130</v>
      </c>
      <c r="E14" s="28" t="s">
        <v>236</v>
      </c>
    </row>
    <row r="15" spans="1:5" s="14" customFormat="1" ht="28.5">
      <c r="A15" s="59" t="s">
        <v>29</v>
      </c>
      <c r="B15" s="57" t="str">
        <f>VLOOKUP(A15,기준값설정!$A$2:$B$22,2,FALSE)</f>
        <v>과제0024</v>
      </c>
      <c r="C15" s="32" t="s">
        <v>220</v>
      </c>
      <c r="D15" s="32" t="s">
        <v>237</v>
      </c>
      <c r="E15" s="31" t="s">
        <v>238</v>
      </c>
    </row>
    <row r="16" spans="1:5" ht="28.5">
      <c r="A16" s="60"/>
      <c r="B16" s="58"/>
      <c r="C16" s="32" t="s">
        <v>222</v>
      </c>
      <c r="D16" s="32" t="s">
        <v>223</v>
      </c>
      <c r="E16" s="6" t="s">
        <v>239</v>
      </c>
    </row>
    <row r="17" spans="1:5" ht="42">
      <c r="A17" s="17" t="s">
        <v>33</v>
      </c>
      <c r="B17" s="23" t="str">
        <f>VLOOKUP(A17,기준값설정!$A$2:$B$22,2,FALSE)</f>
        <v>과제0027</v>
      </c>
      <c r="C17" s="19" t="s">
        <v>204</v>
      </c>
      <c r="D17" s="19" t="s">
        <v>240</v>
      </c>
      <c r="E17" s="36" t="s">
        <v>241</v>
      </c>
    </row>
    <row r="18" spans="1:5">
      <c r="A18" s="17"/>
      <c r="B18" s="21" t="e">
        <f>VLOOKUP(A18,기준값설정!$A$2:$B$22,2,FALSE)</f>
        <v>#N/A</v>
      </c>
      <c r="C18" s="19"/>
      <c r="D18" s="19"/>
      <c r="E18" s="9"/>
    </row>
    <row r="19" spans="1:5">
      <c r="A19" s="17"/>
      <c r="B19" s="21" t="e">
        <f>VLOOKUP(A19,기준값설정!$A$2:$B$22,2,FALSE)</f>
        <v>#N/A</v>
      </c>
      <c r="C19" s="19"/>
      <c r="D19" s="19"/>
      <c r="E19" s="9"/>
    </row>
    <row r="20" spans="1:5">
      <c r="A20" s="17"/>
      <c r="B20" s="21" t="e">
        <f>VLOOKUP(A20,기준값설정!$A$2:$B$22,2,FALSE)</f>
        <v>#N/A</v>
      </c>
      <c r="C20" s="19"/>
      <c r="D20" s="19"/>
      <c r="E20" s="9"/>
    </row>
    <row r="21" spans="1:5">
      <c r="A21" s="17"/>
      <c r="B21" s="21" t="e">
        <f>VLOOKUP(A21,기준값설정!$A$2:$B$22,2,FALSE)</f>
        <v>#N/A</v>
      </c>
      <c r="C21" s="19"/>
      <c r="D21" s="19"/>
      <c r="E21" s="9"/>
    </row>
    <row r="22" spans="1:5">
      <c r="A22" s="17"/>
      <c r="B22" s="21" t="e">
        <f>VLOOKUP(A22,기준값설정!$A$2:$B$22,2,FALSE)</f>
        <v>#N/A</v>
      </c>
      <c r="C22" s="19"/>
      <c r="D22" s="19"/>
      <c r="E22" s="9"/>
    </row>
    <row r="23" spans="1:5">
      <c r="A23" s="17"/>
      <c r="B23" s="21" t="e">
        <f>VLOOKUP(A23,기준값설정!$A$2:$B$22,2,FALSE)</f>
        <v>#N/A</v>
      </c>
      <c r="C23" s="19"/>
      <c r="D23" s="19"/>
      <c r="E23" s="9"/>
    </row>
    <row r="24" spans="1:5">
      <c r="A24" s="17"/>
      <c r="B24" s="21" t="e">
        <f>VLOOKUP(A24,기준값설정!$A$2:$B$22,2,FALSE)</f>
        <v>#N/A</v>
      </c>
      <c r="C24" s="19"/>
      <c r="D24" s="19"/>
      <c r="E24" s="9"/>
    </row>
    <row r="25" spans="1:5">
      <c r="A25" s="17"/>
      <c r="B25" s="21" t="e">
        <f>VLOOKUP(A25,기준값설정!$A$2:$B$22,2,FALSE)</f>
        <v>#N/A</v>
      </c>
      <c r="C25" s="19"/>
      <c r="D25" s="19"/>
      <c r="E25" s="9"/>
    </row>
    <row r="26" spans="1:5">
      <c r="A26" s="17"/>
      <c r="B26" s="21" t="e">
        <f>VLOOKUP(A26,기준값설정!$A$2:$B$22,2,FALSE)</f>
        <v>#N/A</v>
      </c>
      <c r="C26" s="19"/>
      <c r="D26" s="19"/>
      <c r="E26" s="9"/>
    </row>
    <row r="27" spans="1:5">
      <c r="A27" s="17"/>
      <c r="B27" s="21" t="e">
        <f>VLOOKUP(A27,기준값설정!$A$2:$B$22,2,FALSE)</f>
        <v>#N/A</v>
      </c>
      <c r="C27" s="19"/>
      <c r="D27" s="19"/>
      <c r="E27" s="9"/>
    </row>
    <row r="28" spans="1:5">
      <c r="A28" s="17"/>
      <c r="B28" s="21" t="e">
        <f>VLOOKUP(A28,기준값설정!$A$2:$B$22,2,FALSE)</f>
        <v>#N/A</v>
      </c>
      <c r="C28" s="19"/>
      <c r="D28" s="19"/>
      <c r="E28" s="9"/>
    </row>
    <row r="29" spans="1:5">
      <c r="A29" s="17"/>
      <c r="B29" s="21" t="e">
        <f>VLOOKUP(A29,기준값설정!$A$2:$B$22,2,FALSE)</f>
        <v>#N/A</v>
      </c>
      <c r="C29" s="19"/>
      <c r="D29" s="19"/>
      <c r="E29" s="9"/>
    </row>
  </sheetData>
  <autoFilter ref="A1:E16" xr:uid="{9DBC3B80-500C-48FD-B076-E7B32AF46C2F}">
    <sortState xmlns:xlrd2="http://schemas.microsoft.com/office/spreadsheetml/2017/richdata2" ref="A2:E29">
      <sortCondition ref="B2:B29"/>
    </sortState>
  </autoFilter>
  <mergeCells count="10">
    <mergeCell ref="B13:B14"/>
    <mergeCell ref="A13:A14"/>
    <mergeCell ref="B15:B16"/>
    <mergeCell ref="A15:A16"/>
    <mergeCell ref="A2:A7"/>
    <mergeCell ref="B2:B7"/>
    <mergeCell ref="A9:A10"/>
    <mergeCell ref="B9:B10"/>
    <mergeCell ref="B11:B12"/>
    <mergeCell ref="A11:A12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304498-52E1-4F39-8769-B9DAFEDCAD83}">
          <x14:formula1>
            <xm:f>기준값설정!$A$2:$A$22</xm:f>
          </x14:formula1>
          <xm:sqref>A2 A8:A9 A11 A13 A15 A17:A29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3B80-500C-48FD-B076-E7B32AF46C2F}">
  <dimension ref="A1:I14"/>
  <sheetViews>
    <sheetView topLeftCell="A7" zoomScale="115" zoomScaleNormal="115" workbookViewId="0">
      <selection activeCell="D12" sqref="D12"/>
    </sheetView>
  </sheetViews>
  <sheetFormatPr defaultRowHeight="16.5"/>
  <cols>
    <col min="1" max="2" width="12.375" style="14" customWidth="1"/>
    <col min="3" max="4" width="17.75" style="14" customWidth="1"/>
    <col min="5" max="6" width="54.875" style="13" customWidth="1"/>
    <col min="7" max="7" width="26.375" style="14" customWidth="1"/>
    <col min="9" max="9" width="77" customWidth="1"/>
  </cols>
  <sheetData>
    <row r="1" spans="1:9">
      <c r="A1" s="16" t="s">
        <v>0</v>
      </c>
      <c r="B1" s="15" t="s">
        <v>1</v>
      </c>
      <c r="C1" s="15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I1" s="24" t="s">
        <v>242</v>
      </c>
    </row>
    <row r="2" spans="1:9" s="14" customFormat="1" ht="73.5" customHeight="1">
      <c r="A2" s="23" t="str">
        <f>VLOOKUP(B2,기준값설정!$D$2:$E$22,2,FALSE)</f>
        <v>DX</v>
      </c>
      <c r="B2" s="17" t="s">
        <v>7</v>
      </c>
      <c r="C2" s="17" t="s">
        <v>8</v>
      </c>
      <c r="D2" s="21" t="str">
        <f>VLOOKUP(C2,기준값설정!$A$2:$B$22,2,FALSE)</f>
        <v>공통2500</v>
      </c>
      <c r="E2" s="5" t="s">
        <v>243</v>
      </c>
      <c r="F2" s="6" t="s">
        <v>244</v>
      </c>
      <c r="G2" s="6" t="s">
        <v>245</v>
      </c>
      <c r="I2" s="25" t="s">
        <v>246</v>
      </c>
    </row>
    <row r="3" spans="1:9" s="14" customFormat="1" ht="52.5" customHeight="1">
      <c r="A3" s="23" t="str">
        <f>VLOOKUP(B3,기준값설정!$D$2:$E$22,2,FALSE)</f>
        <v>DX</v>
      </c>
      <c r="B3" s="17" t="s">
        <v>7</v>
      </c>
      <c r="C3" s="17" t="s">
        <v>8</v>
      </c>
      <c r="D3" s="21" t="str">
        <f>VLOOKUP(C3,기준값설정!$A$2:$B$22,2,FALSE)</f>
        <v>공통2500</v>
      </c>
      <c r="E3" s="5"/>
      <c r="F3" s="19" t="s">
        <v>247</v>
      </c>
      <c r="G3" s="6" t="s">
        <v>248</v>
      </c>
      <c r="I3" s="13" t="s">
        <v>249</v>
      </c>
    </row>
    <row r="4" spans="1:9" s="14" customFormat="1" ht="63.75" customHeight="1">
      <c r="A4" s="23" t="str">
        <f>VLOOKUP(B4,기준값설정!$D$2:$E$22,2,FALSE)</f>
        <v>DX</v>
      </c>
      <c r="B4" s="17" t="s">
        <v>7</v>
      </c>
      <c r="C4" s="17" t="s">
        <v>8</v>
      </c>
      <c r="D4" s="21" t="str">
        <f>VLOOKUP(C4,기준값설정!$A$2:$B$22,2,FALSE)</f>
        <v>공통2500</v>
      </c>
      <c r="E4" s="5"/>
      <c r="F4" s="19" t="s">
        <v>247</v>
      </c>
      <c r="G4" s="6" t="s">
        <v>248</v>
      </c>
      <c r="I4" s="14" t="s">
        <v>250</v>
      </c>
    </row>
    <row r="5" spans="1:9" s="14" customFormat="1" ht="66" customHeight="1">
      <c r="A5" s="23" t="str">
        <f>VLOOKUP(B5,기준값설정!$D$2:$E$22,2,FALSE)</f>
        <v>DX</v>
      </c>
      <c r="B5" s="17" t="s">
        <v>7</v>
      </c>
      <c r="C5" s="17" t="s">
        <v>8</v>
      </c>
      <c r="D5" s="21" t="str">
        <f>VLOOKUP(C5,기준값설정!$A$2:$B$22,2,FALSE)</f>
        <v>공통2500</v>
      </c>
      <c r="E5" s="5" t="s">
        <v>251</v>
      </c>
      <c r="F5" s="18" t="s">
        <v>252</v>
      </c>
      <c r="G5" s="6"/>
      <c r="I5" s="14" t="s">
        <v>253</v>
      </c>
    </row>
    <row r="6" spans="1:9" s="14" customFormat="1" ht="63" customHeight="1">
      <c r="A6" s="23" t="str">
        <f>VLOOKUP(B6,기준값설정!$D$2:$E$22,2,FALSE)</f>
        <v>DX</v>
      </c>
      <c r="B6" s="17" t="s">
        <v>38</v>
      </c>
      <c r="C6" s="17" t="s">
        <v>54</v>
      </c>
      <c r="D6" s="21" t="str">
        <f>VLOOKUP(C6,기준값설정!$A$2:$B$22,2,FALSE)</f>
        <v>HAX-의료-25004</v>
      </c>
      <c r="E6" s="5" t="s">
        <v>254</v>
      </c>
      <c r="F6" s="5" t="s">
        <v>255</v>
      </c>
      <c r="G6" s="6"/>
      <c r="I6" s="26" t="s">
        <v>256</v>
      </c>
    </row>
    <row r="7" spans="1:9" s="14" customFormat="1" ht="89.25" customHeight="1">
      <c r="A7" s="23" t="str">
        <f>VLOOKUP(B7,기준값설정!$D$2:$E$22,2,FALSE)</f>
        <v>DX</v>
      </c>
      <c r="B7" s="17" t="s">
        <v>38</v>
      </c>
      <c r="C7" s="17" t="s">
        <v>43</v>
      </c>
      <c r="D7" s="21" t="str">
        <f>VLOOKUP(C7,기준값설정!$A$2:$B$22,2,FALSE)</f>
        <v>과제0013</v>
      </c>
      <c r="E7" s="5" t="s">
        <v>257</v>
      </c>
      <c r="F7" s="8" t="s">
        <v>258</v>
      </c>
      <c r="G7" s="27" t="s">
        <v>259</v>
      </c>
    </row>
    <row r="8" spans="1:9" s="14" customFormat="1" ht="83.25" customHeight="1">
      <c r="A8" s="23" t="str">
        <f>VLOOKUP(B8,기준값설정!$D$2:$E$22,2,FALSE)</f>
        <v>DX</v>
      </c>
      <c r="B8" s="17" t="s">
        <v>38</v>
      </c>
      <c r="C8" s="17" t="s">
        <v>43</v>
      </c>
      <c r="D8" s="21" t="str">
        <f>VLOOKUP(C8,기준값설정!$A$2:$B$22,2,FALSE)</f>
        <v>과제0013</v>
      </c>
      <c r="E8" s="10" t="s">
        <v>260</v>
      </c>
      <c r="F8" s="7" t="s">
        <v>261</v>
      </c>
      <c r="G8" s="6" t="s">
        <v>262</v>
      </c>
    </row>
    <row r="9" spans="1:9" s="14" customFormat="1" ht="59.25" customHeight="1">
      <c r="A9" s="23" t="str">
        <f>VLOOKUP(B9,기준값설정!$D$2:$E$22,2,FALSE)</f>
        <v>DX</v>
      </c>
      <c r="B9" s="17" t="s">
        <v>38</v>
      </c>
      <c r="C9" s="17" t="s">
        <v>43</v>
      </c>
      <c r="D9" s="21" t="str">
        <f>VLOOKUP(C9,기준값설정!$A$2:$B$22,2,FALSE)</f>
        <v>과제0013</v>
      </c>
      <c r="E9" s="11" t="s">
        <v>263</v>
      </c>
      <c r="F9" s="12"/>
      <c r="G9" s="6"/>
    </row>
    <row r="10" spans="1:9" s="14" customFormat="1" ht="58.5" customHeight="1">
      <c r="A10" s="23" t="str">
        <f>VLOOKUP(B10,기준값설정!$D$2:$E$22,2,FALSE)</f>
        <v>DX</v>
      </c>
      <c r="B10" s="17" t="s">
        <v>38</v>
      </c>
      <c r="C10" s="17" t="s">
        <v>68</v>
      </c>
      <c r="D10" s="21" t="str">
        <f>VLOOKUP(C10,기준값설정!$A$2:$B$22,2,FALSE)</f>
        <v>과제0014</v>
      </c>
      <c r="E10" s="5" t="s">
        <v>264</v>
      </c>
      <c r="F10" s="8" t="s">
        <v>258</v>
      </c>
      <c r="G10" s="27" t="s">
        <v>265</v>
      </c>
    </row>
    <row r="11" spans="1:9" s="14" customFormat="1" ht="27.75" customHeight="1">
      <c r="A11" s="23" t="str">
        <f>VLOOKUP(B11,기준값설정!$D$2:$E$22,2,FALSE)</f>
        <v>DX</v>
      </c>
      <c r="B11" s="17" t="s">
        <v>7</v>
      </c>
      <c r="C11" s="17" t="s">
        <v>24</v>
      </c>
      <c r="D11" s="21" t="str">
        <f>VLOOKUP(C11,기준값설정!$A$2:$B$22,2,FALSE)</f>
        <v>과제0023</v>
      </c>
      <c r="E11" s="5" t="s">
        <v>266</v>
      </c>
      <c r="F11" s="8" t="s">
        <v>266</v>
      </c>
      <c r="G11" s="9"/>
    </row>
    <row r="12" spans="1:9" s="14" customFormat="1" ht="49.5" customHeight="1">
      <c r="A12" s="23" t="str">
        <f>VLOOKUP(B12,기준값설정!$D$2:$E$22,2,FALSE)</f>
        <v>DX</v>
      </c>
      <c r="B12" s="17" t="s">
        <v>58</v>
      </c>
      <c r="C12" s="17" t="s">
        <v>29</v>
      </c>
      <c r="D12" s="21" t="str">
        <f>VLOOKUP(C12,기준값설정!$A$2:$B$22,2,FALSE)</f>
        <v>과제0024</v>
      </c>
      <c r="E12" s="5" t="s">
        <v>267</v>
      </c>
      <c r="F12" s="7" t="s">
        <v>268</v>
      </c>
      <c r="G12" s="6"/>
    </row>
    <row r="13" spans="1:9" s="14" customFormat="1" ht="57.75" customHeight="1">
      <c r="A13" s="23" t="str">
        <f>VLOOKUP(B13,기준값설정!$D$2:$E$22,2,FALSE)</f>
        <v>DX</v>
      </c>
      <c r="B13" s="17" t="s">
        <v>58</v>
      </c>
      <c r="C13" s="17" t="s">
        <v>29</v>
      </c>
      <c r="D13" s="21" t="str">
        <f>VLOOKUP(C13,기준값설정!$A$2:$B$22,2,FALSE)</f>
        <v>과제0024</v>
      </c>
      <c r="E13" s="5" t="s">
        <v>269</v>
      </c>
      <c r="F13" s="5" t="s">
        <v>270</v>
      </c>
      <c r="G13" s="6" t="s">
        <v>271</v>
      </c>
    </row>
    <row r="14" spans="1:9" s="14" customFormat="1" ht="66" customHeight="1">
      <c r="A14" s="23" t="str">
        <f>VLOOKUP(B14,기준값설정!$D$2:$E$22,2,FALSE)</f>
        <v>DX</v>
      </c>
      <c r="B14" s="17" t="s">
        <v>58</v>
      </c>
      <c r="C14" s="17" t="s">
        <v>29</v>
      </c>
      <c r="D14" s="22" t="str">
        <f>VLOOKUP(C14,기준값설정!$A$2:$B$22,2,FALSE)</f>
        <v>과제0024</v>
      </c>
      <c r="E14" s="5" t="s">
        <v>272</v>
      </c>
      <c r="F14" s="5" t="s">
        <v>273</v>
      </c>
      <c r="G14" s="6"/>
    </row>
  </sheetData>
  <autoFilter ref="A1:G14" xr:uid="{9DBC3B80-500C-48FD-B076-E7B32AF46C2F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987CAC-A905-46E6-A93D-F88F99F27145}">
          <x14:formula1>
            <xm:f>기준값설정!$D$2:$D$22</xm:f>
          </x14:formula1>
          <xm:sqref>B2:B14</xm:sqref>
        </x14:dataValidation>
        <x14:dataValidation type="list" allowBlank="1" showInputMessage="1" showErrorMessage="1" xr:uid="{E5C6B150-D77B-43AA-8FFC-5EA3CA3C8908}">
          <x14:formula1>
            <xm:f>기준값설정!$A$2:$A$22</xm:f>
          </x14:formula1>
          <xm:sqref>C2:C14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086B-6715-4853-9890-E9CF323B82EC}">
  <dimension ref="A1:E22"/>
  <sheetViews>
    <sheetView workbookViewId="0">
      <selection activeCell="B13" sqref="B13"/>
    </sheetView>
  </sheetViews>
  <sheetFormatPr defaultRowHeight="16.5"/>
  <cols>
    <col min="1" max="1" width="20.5" bestFit="1" customWidth="1"/>
    <col min="2" max="2" width="15.25" bestFit="1" customWidth="1"/>
  </cols>
  <sheetData>
    <row r="1" spans="1:5">
      <c r="A1" s="1" t="s">
        <v>274</v>
      </c>
      <c r="D1" s="1" t="s">
        <v>275</v>
      </c>
    </row>
    <row r="2" spans="1:5">
      <c r="A2" s="2" t="s">
        <v>2</v>
      </c>
      <c r="B2" s="2" t="s">
        <v>276</v>
      </c>
      <c r="D2" s="2" t="s">
        <v>1</v>
      </c>
      <c r="E2" s="2" t="s">
        <v>0</v>
      </c>
    </row>
    <row r="3" spans="1:5">
      <c r="A3" s="3" t="s">
        <v>8</v>
      </c>
      <c r="B3" s="3" t="s">
        <v>145</v>
      </c>
      <c r="D3" s="3" t="s">
        <v>7</v>
      </c>
      <c r="E3" s="3" t="s">
        <v>53</v>
      </c>
    </row>
    <row r="4" spans="1:5">
      <c r="A4" s="3" t="s">
        <v>210</v>
      </c>
      <c r="B4" s="3" t="s">
        <v>145</v>
      </c>
      <c r="D4" s="3" t="s">
        <v>75</v>
      </c>
      <c r="E4" s="3" t="s">
        <v>277</v>
      </c>
    </row>
    <row r="5" spans="1:5">
      <c r="A5" s="3" t="s">
        <v>76</v>
      </c>
      <c r="B5" s="3" t="s">
        <v>145</v>
      </c>
      <c r="D5" s="3" t="s">
        <v>32</v>
      </c>
      <c r="E5" s="3" t="s">
        <v>53</v>
      </c>
    </row>
    <row r="6" spans="1:5">
      <c r="A6" s="3" t="s">
        <v>43</v>
      </c>
      <c r="B6" s="3" t="s">
        <v>278</v>
      </c>
      <c r="D6" s="3" t="s">
        <v>38</v>
      </c>
      <c r="E6" s="3" t="s">
        <v>53</v>
      </c>
    </row>
    <row r="7" spans="1:5">
      <c r="A7" s="3" t="s">
        <v>68</v>
      </c>
      <c r="B7" s="3" t="s">
        <v>279</v>
      </c>
      <c r="D7" s="3" t="s">
        <v>89</v>
      </c>
      <c r="E7" s="3" t="s">
        <v>277</v>
      </c>
    </row>
    <row r="8" spans="1:5">
      <c r="A8" s="3" t="s">
        <v>24</v>
      </c>
      <c r="B8" s="3" t="s">
        <v>280</v>
      </c>
      <c r="D8" s="3" t="s">
        <v>58</v>
      </c>
      <c r="E8" s="3" t="s">
        <v>53</v>
      </c>
    </row>
    <row r="9" spans="1:5">
      <c r="A9" s="3" t="s">
        <v>29</v>
      </c>
      <c r="B9" s="3" t="s">
        <v>62</v>
      </c>
      <c r="D9" s="3" t="s">
        <v>105</v>
      </c>
      <c r="E9" s="3" t="s">
        <v>277</v>
      </c>
    </row>
    <row r="10" spans="1:5">
      <c r="A10" s="3" t="s">
        <v>81</v>
      </c>
      <c r="B10" s="3" t="s">
        <v>72</v>
      </c>
      <c r="D10" s="3" t="s">
        <v>111</v>
      </c>
      <c r="E10" s="3" t="s">
        <v>277</v>
      </c>
    </row>
    <row r="11" spans="1:5">
      <c r="A11" s="4" t="s">
        <v>33</v>
      </c>
      <c r="B11" s="4" t="s">
        <v>157</v>
      </c>
      <c r="D11" s="3" t="s">
        <v>120</v>
      </c>
      <c r="E11" s="3" t="s">
        <v>277</v>
      </c>
    </row>
    <row r="12" spans="1:5">
      <c r="A12" s="20" t="s">
        <v>54</v>
      </c>
      <c r="B12" s="3" t="s">
        <v>55</v>
      </c>
      <c r="D12" s="3"/>
      <c r="E12" s="3"/>
    </row>
    <row r="13" spans="1:5">
      <c r="A13" s="3" t="s">
        <v>49</v>
      </c>
      <c r="B13" s="3" t="s">
        <v>50</v>
      </c>
      <c r="D13" s="3"/>
      <c r="E13" s="3"/>
    </row>
    <row r="14" spans="1:5">
      <c r="A14" s="3"/>
      <c r="B14" s="3"/>
      <c r="D14" s="3"/>
      <c r="E14" s="3"/>
    </row>
    <row r="15" spans="1:5">
      <c r="A15" s="3"/>
      <c r="B15" s="3"/>
      <c r="D15" s="3"/>
      <c r="E15" s="3"/>
    </row>
    <row r="16" spans="1:5">
      <c r="A16" s="3"/>
      <c r="B16" s="3"/>
      <c r="D16" s="3"/>
      <c r="E16" s="3"/>
    </row>
    <row r="17" spans="1:5">
      <c r="A17" s="3"/>
      <c r="B17" s="3"/>
      <c r="D17" s="3"/>
      <c r="E17" s="3"/>
    </row>
    <row r="18" spans="1:5">
      <c r="A18" s="3"/>
      <c r="B18" s="3"/>
      <c r="D18" s="3"/>
      <c r="E18" s="3"/>
    </row>
    <row r="19" spans="1:5">
      <c r="A19" s="3"/>
      <c r="B19" s="3"/>
      <c r="D19" s="3"/>
      <c r="E19" s="3"/>
    </row>
    <row r="20" spans="1:5">
      <c r="A20" s="3"/>
      <c r="B20" s="3"/>
      <c r="D20" s="3"/>
      <c r="E20" s="3"/>
    </row>
    <row r="21" spans="1:5">
      <c r="A21" s="3"/>
      <c r="B21" s="3"/>
      <c r="D21" s="3"/>
      <c r="E21" s="3"/>
    </row>
    <row r="22" spans="1:5">
      <c r="A22" s="3"/>
      <c r="B22" s="3"/>
      <c r="D22" s="3"/>
      <c r="E22" s="3"/>
    </row>
  </sheetData>
  <dataValidations count="1">
    <dataValidation allowBlank="1" showInputMessage="1" showErrorMessage="1" sqref="E3" xr:uid="{78AD7AD0-3017-47B0-90FB-F242C01F566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정 우철</dc:creator>
  <cp:keywords/>
  <dc:description/>
  <cp:lastModifiedBy/>
  <cp:revision/>
  <dcterms:created xsi:type="dcterms:W3CDTF">2026-01-29T03:06:46Z</dcterms:created>
  <dcterms:modified xsi:type="dcterms:W3CDTF">2026-03-01T11:51:11Z</dcterms:modified>
  <cp:category/>
  <cp:contentStatus/>
</cp:coreProperties>
</file>